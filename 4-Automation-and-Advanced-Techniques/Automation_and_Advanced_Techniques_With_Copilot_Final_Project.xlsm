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E5D1E7B1-6628-F0F0-D09B-76B25B5F3CD3}"/>
  <workbookPr codeName="EsteLivro"/>
  <mc:AlternateContent xmlns:mc="http://schemas.openxmlformats.org/markup-compatibility/2006">
    <mc:Choice Requires="x15">
      <x15ac:absPath xmlns:x15ac="http://schemas.microsoft.com/office/spreadsheetml/2010/11/ac" url="/Users/antonioaugusto/Documents/António/Cursos/Excel/"/>
    </mc:Choice>
  </mc:AlternateContent>
  <xr:revisionPtr revIDLastSave="0" documentId="13_ncr:1_{B7CB0825-F5B7-9147-970F-727B91031E50}" xr6:coauthVersionLast="47" xr6:coauthVersionMax="47" xr10:uidLastSave="{00000000-0000-0000-0000-000000000000}"/>
  <bookViews>
    <workbookView xWindow="40" yWindow="500" windowWidth="38400" windowHeight="19420" xr2:uid="{00000000-000D-0000-FFFF-FFFF00000000}"/>
  </bookViews>
  <sheets>
    <sheet name="Database" sheetId="1" r:id="rId1"/>
    <sheet name="Event Dashboard" sheetId="7" r:id="rId2"/>
    <sheet name="Updated Event Dashboard" sheetId="11" r:id="rId3"/>
    <sheet name="Projections" sheetId="6" r:id="rId4"/>
    <sheet name="Updated Projections" sheetId="12" r:id="rId5"/>
    <sheet name="Accessory sheet" sheetId="4" r:id="rId6"/>
    <sheet name="PivotTable" sheetId="3" r:id="rId7"/>
    <sheet name="PivotTable2" sheetId="9" r:id="rId8"/>
    <sheet name="PivotTable3" sheetId="10" r:id="rId9"/>
    <sheet name="Assumptions" sheetId="2" r:id="rId10"/>
  </sheets>
  <definedNames>
    <definedName name="_xlnm._FilterDatabase" localSheetId="0" hidden="1">Database!$A$1:$H$101</definedName>
    <definedName name="LinhaCronológicaNativa_Registration_Date">#N/A</definedName>
    <definedName name="SegmentaçãoDeDados_Attendance_Type">#N/A</definedName>
    <definedName name="SegmentaçãoDeDados_Session_Preference">#N/A</definedName>
  </definedNames>
  <calcPr calcId="191029"/>
  <pivotCaches>
    <pivotCache cacheId="47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p/lTEf6R25G71rYCdVpbL8ieWXC8BYRzH/GOFNT4iHo="/>
    </ext>
  </extLst>
</workbook>
</file>

<file path=xl/calcChain.xml><?xml version="1.0" encoding="utf-8"?>
<calcChain xmlns="http://schemas.openxmlformats.org/spreadsheetml/2006/main">
  <c r="D53" i="11" l="1"/>
  <c r="D46" i="11"/>
  <c r="P77" i="12"/>
  <c r="P70" i="12"/>
  <c r="P77" i="6"/>
  <c r="P70" i="6"/>
  <c r="U59" i="6"/>
  <c r="O63" i="6" s="1"/>
  <c r="Q59" i="6"/>
  <c r="O59" i="6"/>
  <c r="H723" i="6"/>
  <c r="I723" i="6"/>
  <c r="J723" i="6"/>
  <c r="H724" i="6"/>
  <c r="I724" i="6"/>
  <c r="J724" i="6"/>
  <c r="H725" i="6"/>
  <c r="I725" i="6"/>
  <c r="J725" i="6"/>
  <c r="H726" i="6"/>
  <c r="I726" i="6"/>
  <c r="J726" i="6"/>
  <c r="H727" i="6"/>
  <c r="I727" i="6"/>
  <c r="J727" i="6"/>
  <c r="H728" i="6"/>
  <c r="I728" i="6"/>
  <c r="J728" i="6"/>
  <c r="H729" i="6"/>
  <c r="I729" i="6"/>
  <c r="J729" i="6"/>
  <c r="H730" i="6"/>
  <c r="I730" i="6"/>
  <c r="J730" i="6"/>
  <c r="H731" i="6"/>
  <c r="I731" i="6"/>
  <c r="J731" i="6"/>
  <c r="H732" i="6"/>
  <c r="I732" i="6"/>
  <c r="J732" i="6"/>
  <c r="H733" i="6"/>
  <c r="I733" i="6"/>
  <c r="J733" i="6"/>
  <c r="H734" i="6"/>
  <c r="I734" i="6"/>
  <c r="J734" i="6"/>
  <c r="H735" i="6"/>
  <c r="I735" i="6"/>
  <c r="J735" i="6"/>
  <c r="H736" i="6"/>
  <c r="I736" i="6"/>
  <c r="J736" i="6"/>
  <c r="H737" i="6"/>
  <c r="I737" i="6"/>
  <c r="J737" i="6"/>
  <c r="H738" i="6"/>
  <c r="I738" i="6"/>
  <c r="J738" i="6"/>
  <c r="H739" i="6"/>
  <c r="I739" i="6"/>
  <c r="J739" i="6"/>
  <c r="H740" i="6"/>
  <c r="I740" i="6"/>
  <c r="J740" i="6"/>
  <c r="H741" i="6"/>
  <c r="I741" i="6"/>
  <c r="J741" i="6"/>
  <c r="H742" i="6"/>
  <c r="I742" i="6"/>
  <c r="J742" i="6"/>
  <c r="H743" i="6"/>
  <c r="I743" i="6"/>
  <c r="J743" i="6"/>
  <c r="H744" i="6"/>
  <c r="I744" i="6"/>
  <c r="J744" i="6"/>
  <c r="H745" i="6"/>
  <c r="I745" i="6"/>
  <c r="J745" i="6"/>
  <c r="H746" i="6"/>
  <c r="I746" i="6"/>
  <c r="J746" i="6"/>
  <c r="H747" i="6"/>
  <c r="I747" i="6"/>
  <c r="J747" i="6"/>
  <c r="H748" i="6"/>
  <c r="I748" i="6"/>
  <c r="J748" i="6"/>
  <c r="H749" i="6"/>
  <c r="I749" i="6"/>
  <c r="J749" i="6"/>
  <c r="H750" i="6"/>
  <c r="I750" i="6"/>
  <c r="J750" i="6"/>
  <c r="H751" i="6"/>
  <c r="I751" i="6"/>
  <c r="J751" i="6"/>
  <c r="H752" i="6"/>
  <c r="I752" i="6"/>
  <c r="J752" i="6"/>
  <c r="H753" i="6"/>
  <c r="I753" i="6"/>
  <c r="J753" i="6"/>
  <c r="H754" i="6"/>
  <c r="I754" i="6"/>
  <c r="J754" i="6"/>
  <c r="H755" i="6"/>
  <c r="I755" i="6"/>
  <c r="J755" i="6"/>
  <c r="H756" i="6"/>
  <c r="I756" i="6"/>
  <c r="J756" i="6"/>
  <c r="H757" i="6"/>
  <c r="I757" i="6"/>
  <c r="J757" i="6"/>
  <c r="H758" i="6"/>
  <c r="I758" i="6"/>
  <c r="J758" i="6"/>
  <c r="H759" i="6"/>
  <c r="I759" i="6"/>
  <c r="J759" i="6"/>
  <c r="H760" i="6"/>
  <c r="I760" i="6"/>
  <c r="J760" i="6"/>
  <c r="H761" i="6"/>
  <c r="I761" i="6"/>
  <c r="J761" i="6"/>
  <c r="H762" i="6"/>
  <c r="I762" i="6"/>
  <c r="J762" i="6"/>
  <c r="H763" i="6"/>
  <c r="I763" i="6"/>
  <c r="J763" i="6"/>
  <c r="H764" i="6"/>
  <c r="I764" i="6"/>
  <c r="J764" i="6"/>
  <c r="H765" i="6"/>
  <c r="I765" i="6"/>
  <c r="J765" i="6"/>
  <c r="H766" i="6"/>
  <c r="I766" i="6"/>
  <c r="J766" i="6"/>
  <c r="H767" i="6"/>
  <c r="I767" i="6"/>
  <c r="J767" i="6"/>
  <c r="H768" i="6"/>
  <c r="I768" i="6"/>
  <c r="J768" i="6"/>
  <c r="H769" i="6"/>
  <c r="I769" i="6"/>
  <c r="J769" i="6"/>
  <c r="H770" i="6"/>
  <c r="I770" i="6"/>
  <c r="J770" i="6"/>
  <c r="H771" i="6"/>
  <c r="I771" i="6"/>
  <c r="J771" i="6"/>
  <c r="H772" i="6"/>
  <c r="I772" i="6"/>
  <c r="J772" i="6"/>
  <c r="H773" i="6"/>
  <c r="I773" i="6"/>
  <c r="J773" i="6"/>
  <c r="H774" i="6"/>
  <c r="I774" i="6"/>
  <c r="J774" i="6"/>
  <c r="H775" i="6"/>
  <c r="I775" i="6"/>
  <c r="J775" i="6"/>
  <c r="H776" i="6"/>
  <c r="I776" i="6"/>
  <c r="J776" i="6"/>
  <c r="H777" i="6"/>
  <c r="I777" i="6"/>
  <c r="J777" i="6"/>
  <c r="H778" i="6"/>
  <c r="I778" i="6"/>
  <c r="J778" i="6"/>
  <c r="H779" i="6"/>
  <c r="I779" i="6"/>
  <c r="J779" i="6"/>
  <c r="H780" i="6"/>
  <c r="I780" i="6"/>
  <c r="J780" i="6"/>
  <c r="H781" i="6"/>
  <c r="I781" i="6"/>
  <c r="J781" i="6"/>
  <c r="H782" i="6"/>
  <c r="I782" i="6"/>
  <c r="J782" i="6"/>
  <c r="H783" i="6"/>
  <c r="I783" i="6"/>
  <c r="J783" i="6"/>
  <c r="H784" i="6"/>
  <c r="I784" i="6"/>
  <c r="J784" i="6"/>
  <c r="H785" i="6"/>
  <c r="I785" i="6"/>
  <c r="J785" i="6"/>
  <c r="H786" i="6"/>
  <c r="I786" i="6"/>
  <c r="J786" i="6"/>
  <c r="H787" i="6"/>
  <c r="I787" i="6"/>
  <c r="J787" i="6"/>
  <c r="H788" i="6"/>
  <c r="I788" i="6"/>
  <c r="J788" i="6"/>
  <c r="H789" i="6"/>
  <c r="I789" i="6"/>
  <c r="J789" i="6"/>
  <c r="H790" i="6"/>
  <c r="I790" i="6"/>
  <c r="J790" i="6"/>
  <c r="H791" i="6"/>
  <c r="I791" i="6"/>
  <c r="J791" i="6"/>
  <c r="H792" i="6"/>
  <c r="I792" i="6"/>
  <c r="J792" i="6"/>
  <c r="H793" i="6"/>
  <c r="I793" i="6"/>
  <c r="J793" i="6"/>
  <c r="H794" i="6"/>
  <c r="I794" i="6"/>
  <c r="J794" i="6"/>
  <c r="H795" i="6"/>
  <c r="I795" i="6"/>
  <c r="J795" i="6"/>
  <c r="H796" i="6"/>
  <c r="I796" i="6"/>
  <c r="J796" i="6"/>
  <c r="H797" i="6"/>
  <c r="I797" i="6"/>
  <c r="J797" i="6"/>
  <c r="H798" i="6"/>
  <c r="I798" i="6"/>
  <c r="J798" i="6"/>
  <c r="H799" i="6"/>
  <c r="I799" i="6"/>
  <c r="J799" i="6"/>
  <c r="H800" i="6"/>
  <c r="I800" i="6"/>
  <c r="J800" i="6"/>
  <c r="H801" i="6"/>
  <c r="I801" i="6"/>
  <c r="J801" i="6"/>
  <c r="H802" i="6"/>
  <c r="I802" i="6"/>
  <c r="J802" i="6"/>
  <c r="H803" i="6"/>
  <c r="I803" i="6"/>
  <c r="J803" i="6"/>
  <c r="H804" i="6"/>
  <c r="I804" i="6"/>
  <c r="J804" i="6"/>
  <c r="H805" i="6"/>
  <c r="I805" i="6"/>
  <c r="J805" i="6"/>
  <c r="H806" i="6"/>
  <c r="I806" i="6"/>
  <c r="J806" i="6"/>
  <c r="H807" i="6"/>
  <c r="I807" i="6"/>
  <c r="J807" i="6"/>
  <c r="H808" i="6"/>
  <c r="I808" i="6"/>
  <c r="J808" i="6"/>
  <c r="H809" i="6"/>
  <c r="I809" i="6"/>
  <c r="J809" i="6"/>
  <c r="H810" i="6"/>
  <c r="I810" i="6"/>
  <c r="J810" i="6"/>
  <c r="H811" i="6"/>
  <c r="I811" i="6"/>
  <c r="J811" i="6"/>
  <c r="H812" i="6"/>
  <c r="I812" i="6"/>
  <c r="J812" i="6"/>
  <c r="H813" i="6"/>
  <c r="I813" i="6"/>
  <c r="J813" i="6"/>
  <c r="H814" i="6"/>
  <c r="I814" i="6"/>
  <c r="J814" i="6"/>
  <c r="H815" i="6"/>
  <c r="I815" i="6"/>
  <c r="J815" i="6"/>
  <c r="H816" i="6"/>
  <c r="I816" i="6"/>
  <c r="J816" i="6"/>
  <c r="H817" i="6"/>
  <c r="I817" i="6"/>
  <c r="J817" i="6"/>
  <c r="H818" i="6"/>
  <c r="I818" i="6"/>
  <c r="J818" i="6"/>
  <c r="H819" i="6"/>
  <c r="I819" i="6"/>
  <c r="J819" i="6"/>
  <c r="H820" i="6"/>
  <c r="I820" i="6"/>
  <c r="J820" i="6"/>
  <c r="H821" i="6"/>
  <c r="I821" i="6"/>
  <c r="J821" i="6"/>
  <c r="H822" i="6"/>
  <c r="I822" i="6"/>
  <c r="J822" i="6"/>
  <c r="H823" i="6"/>
  <c r="I823" i="6"/>
  <c r="J823" i="6"/>
  <c r="H824" i="6"/>
  <c r="I824" i="6"/>
  <c r="J824" i="6"/>
  <c r="H825" i="6"/>
  <c r="I825" i="6"/>
  <c r="J825" i="6"/>
  <c r="H826" i="6"/>
  <c r="I826" i="6"/>
  <c r="J826" i="6"/>
  <c r="H827" i="6"/>
  <c r="I827" i="6"/>
  <c r="J827" i="6"/>
  <c r="H828" i="6"/>
  <c r="I828" i="6"/>
  <c r="J828" i="6"/>
  <c r="H829" i="6"/>
  <c r="I829" i="6"/>
  <c r="J829" i="6"/>
  <c r="H830" i="6"/>
  <c r="I830" i="6"/>
  <c r="J830" i="6"/>
  <c r="H831" i="6"/>
  <c r="I831" i="6"/>
  <c r="J831" i="6"/>
  <c r="H832" i="6"/>
  <c r="I832" i="6"/>
  <c r="J832" i="6"/>
  <c r="H833" i="6"/>
  <c r="I833" i="6"/>
  <c r="J833" i="6"/>
  <c r="H834" i="6"/>
  <c r="I834" i="6"/>
  <c r="J834" i="6"/>
  <c r="H835" i="6"/>
  <c r="I835" i="6"/>
  <c r="J835" i="6"/>
  <c r="H836" i="6"/>
  <c r="I836" i="6"/>
  <c r="J836" i="6"/>
  <c r="H837" i="6"/>
  <c r="I837" i="6"/>
  <c r="J837" i="6"/>
  <c r="H838" i="6"/>
  <c r="I838" i="6"/>
  <c r="J838" i="6"/>
  <c r="H839" i="6"/>
  <c r="I839" i="6"/>
  <c r="J839" i="6"/>
  <c r="H840" i="6"/>
  <c r="I840" i="6"/>
  <c r="J840" i="6"/>
  <c r="H841" i="6"/>
  <c r="I841" i="6"/>
  <c r="J841" i="6"/>
  <c r="H842" i="6"/>
  <c r="I842" i="6"/>
  <c r="J842" i="6"/>
  <c r="H843" i="6"/>
  <c r="I843" i="6"/>
  <c r="J843" i="6"/>
  <c r="H844" i="6"/>
  <c r="I844" i="6"/>
  <c r="J844" i="6"/>
  <c r="H845" i="6"/>
  <c r="I845" i="6"/>
  <c r="J845" i="6"/>
  <c r="H846" i="6"/>
  <c r="I846" i="6"/>
  <c r="J846" i="6"/>
  <c r="H847" i="6"/>
  <c r="I847" i="6"/>
  <c r="J847" i="6"/>
  <c r="H848" i="6"/>
  <c r="I848" i="6"/>
  <c r="J848" i="6"/>
  <c r="H849" i="6"/>
  <c r="I849" i="6"/>
  <c r="J849" i="6"/>
  <c r="H850" i="6"/>
  <c r="I850" i="6"/>
  <c r="J850" i="6"/>
  <c r="H851" i="6"/>
  <c r="I851" i="6"/>
  <c r="J851" i="6"/>
  <c r="H852" i="6"/>
  <c r="I852" i="6"/>
  <c r="J852" i="6"/>
  <c r="H853" i="6"/>
  <c r="I853" i="6"/>
  <c r="J853" i="6"/>
  <c r="H854" i="6"/>
  <c r="I854" i="6"/>
  <c r="J854" i="6"/>
  <c r="H855" i="6"/>
  <c r="I855" i="6"/>
  <c r="J855" i="6"/>
  <c r="H856" i="6"/>
  <c r="I856" i="6"/>
  <c r="J856" i="6"/>
  <c r="H857" i="6"/>
  <c r="I857" i="6"/>
  <c r="J857" i="6"/>
  <c r="H858" i="6"/>
  <c r="I858" i="6"/>
  <c r="J858" i="6"/>
  <c r="H859" i="6"/>
  <c r="I859" i="6"/>
  <c r="J859" i="6"/>
  <c r="H860" i="6"/>
  <c r="I860" i="6"/>
  <c r="J860" i="6"/>
  <c r="H861" i="6"/>
  <c r="I861" i="6"/>
  <c r="J861" i="6"/>
  <c r="H862" i="6"/>
  <c r="I862" i="6"/>
  <c r="J862" i="6"/>
  <c r="H863" i="6"/>
  <c r="I863" i="6"/>
  <c r="J863" i="6"/>
  <c r="H864" i="6"/>
  <c r="I864" i="6"/>
  <c r="J864" i="6"/>
  <c r="H865" i="6"/>
  <c r="I865" i="6"/>
  <c r="J865" i="6"/>
  <c r="H866" i="6"/>
  <c r="I866" i="6"/>
  <c r="J866" i="6"/>
  <c r="H867" i="6"/>
  <c r="I867" i="6"/>
  <c r="J867" i="6"/>
  <c r="H868" i="6"/>
  <c r="I868" i="6"/>
  <c r="J868" i="6"/>
  <c r="H869" i="6"/>
  <c r="I869" i="6"/>
  <c r="J869" i="6"/>
  <c r="H870" i="6"/>
  <c r="I870" i="6"/>
  <c r="J870" i="6"/>
  <c r="H871" i="6"/>
  <c r="I871" i="6"/>
  <c r="J871" i="6"/>
  <c r="H872" i="6"/>
  <c r="I872" i="6"/>
  <c r="J872" i="6"/>
  <c r="H873" i="6"/>
  <c r="I873" i="6"/>
  <c r="J873" i="6"/>
  <c r="H874" i="6"/>
  <c r="I874" i="6"/>
  <c r="J874" i="6"/>
  <c r="H875" i="6"/>
  <c r="I875" i="6"/>
  <c r="J875" i="6"/>
  <c r="H876" i="6"/>
  <c r="I876" i="6"/>
  <c r="J876" i="6"/>
  <c r="H877" i="6"/>
  <c r="I877" i="6"/>
  <c r="J877" i="6"/>
  <c r="H878" i="6"/>
  <c r="I878" i="6"/>
  <c r="J878" i="6"/>
  <c r="H879" i="6"/>
  <c r="I879" i="6"/>
  <c r="J879" i="6"/>
  <c r="H880" i="6"/>
  <c r="I880" i="6"/>
  <c r="J880" i="6"/>
  <c r="H881" i="6"/>
  <c r="I881" i="6"/>
  <c r="J881" i="6"/>
  <c r="H882" i="6"/>
  <c r="I882" i="6"/>
  <c r="J882" i="6"/>
  <c r="H883" i="6"/>
  <c r="I883" i="6"/>
  <c r="J883" i="6"/>
  <c r="H884" i="6"/>
  <c r="I884" i="6"/>
  <c r="J884" i="6"/>
  <c r="H885" i="6"/>
  <c r="I885" i="6"/>
  <c r="J885" i="6"/>
  <c r="H886" i="6"/>
  <c r="I886" i="6"/>
  <c r="J886" i="6"/>
  <c r="H887" i="6"/>
  <c r="I887" i="6"/>
  <c r="J887" i="6"/>
  <c r="H888" i="6"/>
  <c r="I888" i="6"/>
  <c r="J888" i="6"/>
  <c r="H889" i="6"/>
  <c r="I889" i="6"/>
  <c r="J889" i="6"/>
  <c r="H890" i="6"/>
  <c r="I890" i="6"/>
  <c r="J890" i="6"/>
  <c r="H891" i="6"/>
  <c r="I891" i="6"/>
  <c r="J891" i="6"/>
  <c r="H892" i="6"/>
  <c r="I892" i="6"/>
  <c r="J892" i="6"/>
  <c r="H893" i="6"/>
  <c r="I893" i="6"/>
  <c r="J893" i="6"/>
  <c r="H894" i="6"/>
  <c r="I894" i="6"/>
  <c r="J894" i="6"/>
  <c r="H895" i="6"/>
  <c r="I895" i="6"/>
  <c r="J895" i="6"/>
  <c r="H896" i="6"/>
  <c r="I896" i="6"/>
  <c r="J896" i="6"/>
  <c r="H897" i="6"/>
  <c r="I897" i="6"/>
  <c r="J897" i="6"/>
  <c r="H898" i="6"/>
  <c r="I898" i="6"/>
  <c r="J898" i="6"/>
  <c r="H899" i="6"/>
  <c r="I899" i="6"/>
  <c r="J899" i="6"/>
  <c r="H900" i="6"/>
  <c r="I900" i="6"/>
  <c r="J900" i="6"/>
  <c r="H901" i="6"/>
  <c r="I901" i="6"/>
  <c r="J901" i="6"/>
  <c r="H902" i="6"/>
  <c r="I902" i="6"/>
  <c r="J902" i="6"/>
  <c r="H903" i="6"/>
  <c r="I903" i="6"/>
  <c r="J903" i="6"/>
  <c r="G723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2" i="4"/>
  <c r="F3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H902" i="12"/>
  <c r="H898" i="12"/>
  <c r="H894" i="12"/>
  <c r="H890" i="12"/>
  <c r="H886" i="12"/>
  <c r="H882" i="12"/>
  <c r="H878" i="12"/>
  <c r="H874" i="12"/>
  <c r="H870" i="12"/>
  <c r="H866" i="12"/>
  <c r="H862" i="12"/>
  <c r="H858" i="12"/>
  <c r="H854" i="12"/>
  <c r="H850" i="12"/>
  <c r="H846" i="12"/>
  <c r="H842" i="12"/>
  <c r="H838" i="12"/>
  <c r="H834" i="12"/>
  <c r="H830" i="12"/>
  <c r="H826" i="12"/>
  <c r="H822" i="12"/>
  <c r="H818" i="12"/>
  <c r="H814" i="12"/>
  <c r="H810" i="12"/>
  <c r="H806" i="12"/>
  <c r="H802" i="12"/>
  <c r="H798" i="12"/>
  <c r="H794" i="12"/>
  <c r="H790" i="12"/>
  <c r="H786" i="12"/>
  <c r="H782" i="12"/>
  <c r="H778" i="12"/>
  <c r="H903" i="12"/>
  <c r="H899" i="12"/>
  <c r="H895" i="12"/>
  <c r="H891" i="12"/>
  <c r="H887" i="12"/>
  <c r="H883" i="12"/>
  <c r="H879" i="12"/>
  <c r="H875" i="12"/>
  <c r="H871" i="12"/>
  <c r="H867" i="12"/>
  <c r="H863" i="12"/>
  <c r="H859" i="12"/>
  <c r="H855" i="12"/>
  <c r="H851" i="12"/>
  <c r="H847" i="12"/>
  <c r="H843" i="12"/>
  <c r="H839" i="12"/>
  <c r="H835" i="12"/>
  <c r="H831" i="12"/>
  <c r="H827" i="12"/>
  <c r="H823" i="12"/>
  <c r="H819" i="12"/>
  <c r="H815" i="12"/>
  <c r="H811" i="12"/>
  <c r="H807" i="12"/>
  <c r="H803" i="12"/>
  <c r="H799" i="12"/>
  <c r="H795" i="12"/>
  <c r="H791" i="12"/>
  <c r="H787" i="12"/>
  <c r="H783" i="12"/>
  <c r="H779" i="12"/>
  <c r="C902" i="12"/>
  <c r="C898" i="12"/>
  <c r="C894" i="12"/>
  <c r="C890" i="12"/>
  <c r="C886" i="12"/>
  <c r="C882" i="12"/>
  <c r="C878" i="12"/>
  <c r="C874" i="12"/>
  <c r="C870" i="12"/>
  <c r="C866" i="12"/>
  <c r="C862" i="12"/>
  <c r="C858" i="12"/>
  <c r="C854" i="12"/>
  <c r="C850" i="12"/>
  <c r="C846" i="12"/>
  <c r="C842" i="12"/>
  <c r="C838" i="12"/>
  <c r="C834" i="12"/>
  <c r="C830" i="12"/>
  <c r="C826" i="12"/>
  <c r="C822" i="12"/>
  <c r="C818" i="12"/>
  <c r="C814" i="12"/>
  <c r="C810" i="12"/>
  <c r="C806" i="12"/>
  <c r="C802" i="12"/>
  <c r="C798" i="12"/>
  <c r="C794" i="12"/>
  <c r="C790" i="12"/>
  <c r="C786" i="12"/>
  <c r="C782" i="12"/>
  <c r="C778" i="12"/>
  <c r="H900" i="12"/>
  <c r="H896" i="12"/>
  <c r="H892" i="12"/>
  <c r="H888" i="12"/>
  <c r="H884" i="12"/>
  <c r="H880" i="12"/>
  <c r="H876" i="12"/>
  <c r="H872" i="12"/>
  <c r="H868" i="12"/>
  <c r="H864" i="12"/>
  <c r="H860" i="12"/>
  <c r="H856" i="12"/>
  <c r="H852" i="12"/>
  <c r="H848" i="12"/>
  <c r="H844" i="12"/>
  <c r="H840" i="12"/>
  <c r="H836" i="12"/>
  <c r="H832" i="12"/>
  <c r="H828" i="12"/>
  <c r="H824" i="12"/>
  <c r="H820" i="12"/>
  <c r="H816" i="12"/>
  <c r="H812" i="12"/>
  <c r="H808" i="12"/>
  <c r="H804" i="12"/>
  <c r="H800" i="12"/>
  <c r="H796" i="12"/>
  <c r="H792" i="12"/>
  <c r="H788" i="12"/>
  <c r="H784" i="12"/>
  <c r="H780" i="12"/>
  <c r="C903" i="12"/>
  <c r="C899" i="12"/>
  <c r="C895" i="12"/>
  <c r="C891" i="12"/>
  <c r="C887" i="12"/>
  <c r="C883" i="12"/>
  <c r="C879" i="12"/>
  <c r="C875" i="12"/>
  <c r="C871" i="12"/>
  <c r="C867" i="12"/>
  <c r="C863" i="12"/>
  <c r="C859" i="12"/>
  <c r="C855" i="12"/>
  <c r="C851" i="12"/>
  <c r="C847" i="12"/>
  <c r="C843" i="12"/>
  <c r="C839" i="12"/>
  <c r="C835" i="12"/>
  <c r="C831" i="12"/>
  <c r="C827" i="12"/>
  <c r="C823" i="12"/>
  <c r="C819" i="12"/>
  <c r="C815" i="12"/>
  <c r="C811" i="12"/>
  <c r="C807" i="12"/>
  <c r="C803" i="12"/>
  <c r="C799" i="12"/>
  <c r="C795" i="12"/>
  <c r="C791" i="12"/>
  <c r="C787" i="12"/>
  <c r="C783" i="12"/>
  <c r="C779" i="12"/>
  <c r="H901" i="12"/>
  <c r="C900" i="12"/>
  <c r="C896" i="12"/>
  <c r="C892" i="12"/>
  <c r="C888" i="12"/>
  <c r="C884" i="12"/>
  <c r="C880" i="12"/>
  <c r="C876" i="12"/>
  <c r="C872" i="12"/>
  <c r="C868" i="12"/>
  <c r="C864" i="12"/>
  <c r="C860" i="12"/>
  <c r="C856" i="12"/>
  <c r="C852" i="12"/>
  <c r="C848" i="12"/>
  <c r="C844" i="12"/>
  <c r="C840" i="12"/>
  <c r="C836" i="12"/>
  <c r="C832" i="12"/>
  <c r="C828" i="12"/>
  <c r="C824" i="12"/>
  <c r="C820" i="12"/>
  <c r="C816" i="12"/>
  <c r="C812" i="12"/>
  <c r="C808" i="12"/>
  <c r="C804" i="12"/>
  <c r="C800" i="12"/>
  <c r="C796" i="12"/>
  <c r="C792" i="12"/>
  <c r="C788" i="12"/>
  <c r="C784" i="12"/>
  <c r="C780" i="12"/>
  <c r="H885" i="12"/>
  <c r="H869" i="12"/>
  <c r="H853" i="12"/>
  <c r="H837" i="12"/>
  <c r="H821" i="12"/>
  <c r="H805" i="12"/>
  <c r="H789" i="12"/>
  <c r="C773" i="12"/>
  <c r="C769" i="12"/>
  <c r="C765" i="12"/>
  <c r="C761" i="12"/>
  <c r="C757" i="12"/>
  <c r="C753" i="12"/>
  <c r="C749" i="12"/>
  <c r="C745" i="12"/>
  <c r="C741" i="12"/>
  <c r="C737" i="12"/>
  <c r="C733" i="12"/>
  <c r="C729" i="12"/>
  <c r="C725" i="12"/>
  <c r="C901" i="12"/>
  <c r="C885" i="12"/>
  <c r="C869" i="12"/>
  <c r="C853" i="12"/>
  <c r="C837" i="12"/>
  <c r="C821" i="12"/>
  <c r="C805" i="12"/>
  <c r="C789" i="12"/>
  <c r="H775" i="12"/>
  <c r="H771" i="12"/>
  <c r="H767" i="12"/>
  <c r="H763" i="12"/>
  <c r="H759" i="12"/>
  <c r="H755" i="12"/>
  <c r="H751" i="12"/>
  <c r="H747" i="12"/>
  <c r="H743" i="12"/>
  <c r="H739" i="12"/>
  <c r="H735" i="12"/>
  <c r="H731" i="12"/>
  <c r="H727" i="12"/>
  <c r="H723" i="12"/>
  <c r="H889" i="12"/>
  <c r="H873" i="12"/>
  <c r="H857" i="12"/>
  <c r="H841" i="12"/>
  <c r="H825" i="12"/>
  <c r="H809" i="12"/>
  <c r="H793" i="12"/>
  <c r="H777" i="12"/>
  <c r="C774" i="12"/>
  <c r="C770" i="12"/>
  <c r="C766" i="12"/>
  <c r="C762" i="12"/>
  <c r="C758" i="12"/>
  <c r="C754" i="12"/>
  <c r="C750" i="12"/>
  <c r="C746" i="12"/>
  <c r="C742" i="12"/>
  <c r="C738" i="12"/>
  <c r="C734" i="12"/>
  <c r="C730" i="12"/>
  <c r="C726" i="12"/>
  <c r="C889" i="12"/>
  <c r="C873" i="12"/>
  <c r="C857" i="12"/>
  <c r="C841" i="12"/>
  <c r="C825" i="12"/>
  <c r="C809" i="12"/>
  <c r="C793" i="12"/>
  <c r="C777" i="12"/>
  <c r="H772" i="12"/>
  <c r="H768" i="12"/>
  <c r="H764" i="12"/>
  <c r="H760" i="12"/>
  <c r="H756" i="12"/>
  <c r="H752" i="12"/>
  <c r="H748" i="12"/>
  <c r="H744" i="12"/>
  <c r="H740" i="12"/>
  <c r="H736" i="12"/>
  <c r="H732" i="12"/>
  <c r="H728" i="12"/>
  <c r="H724" i="12"/>
  <c r="H893" i="12"/>
  <c r="H877" i="12"/>
  <c r="H861" i="12"/>
  <c r="H845" i="12"/>
  <c r="H829" i="12"/>
  <c r="H813" i="12"/>
  <c r="H797" i="12"/>
  <c r="H781" i="12"/>
  <c r="H776" i="12"/>
  <c r="C775" i="12"/>
  <c r="C771" i="12"/>
  <c r="C767" i="12"/>
  <c r="C763" i="12"/>
  <c r="C759" i="12"/>
  <c r="C755" i="12"/>
  <c r="C751" i="12"/>
  <c r="C747" i="12"/>
  <c r="C743" i="12"/>
  <c r="C739" i="12"/>
  <c r="C735" i="12"/>
  <c r="C731" i="12"/>
  <c r="C727" i="12"/>
  <c r="C723" i="12"/>
  <c r="C893" i="12"/>
  <c r="C877" i="12"/>
  <c r="C861" i="12"/>
  <c r="C845" i="12"/>
  <c r="C829" i="12"/>
  <c r="C813" i="12"/>
  <c r="C797" i="12"/>
  <c r="C781" i="12"/>
  <c r="H773" i="12"/>
  <c r="H769" i="12"/>
  <c r="H765" i="12"/>
  <c r="H761" i="12"/>
  <c r="H757" i="12"/>
  <c r="H753" i="12"/>
  <c r="H749" i="12"/>
  <c r="H745" i="12"/>
  <c r="H741" i="12"/>
  <c r="H737" i="12"/>
  <c r="H733" i="12"/>
  <c r="H729" i="12"/>
  <c r="H725" i="12"/>
  <c r="H897" i="12"/>
  <c r="H881" i="12"/>
  <c r="H865" i="12"/>
  <c r="H849" i="12"/>
  <c r="H833" i="12"/>
  <c r="H817" i="12"/>
  <c r="H801" i="12"/>
  <c r="H785" i="12"/>
  <c r="C776" i="12"/>
  <c r="C772" i="12"/>
  <c r="C768" i="12"/>
  <c r="C764" i="12"/>
  <c r="C760" i="12"/>
  <c r="C756" i="12"/>
  <c r="C752" i="12"/>
  <c r="C748" i="12"/>
  <c r="C744" i="12"/>
  <c r="C740" i="12"/>
  <c r="C736" i="12"/>
  <c r="C732" i="12"/>
  <c r="C728" i="12"/>
  <c r="C724" i="12"/>
  <c r="C897" i="12"/>
  <c r="C881" i="12"/>
  <c r="C865" i="12"/>
  <c r="C849" i="12"/>
  <c r="C833" i="12"/>
  <c r="C817" i="12"/>
  <c r="C801" i="12"/>
  <c r="C785" i="12"/>
  <c r="H774" i="12"/>
  <c r="H770" i="12"/>
  <c r="H766" i="12"/>
  <c r="H762" i="12"/>
  <c r="H758" i="12"/>
  <c r="H754" i="12"/>
  <c r="H750" i="12"/>
  <c r="H746" i="12"/>
  <c r="H742" i="12"/>
  <c r="H738" i="12"/>
  <c r="H734" i="12"/>
  <c r="H730" i="12"/>
  <c r="H726" i="12"/>
  <c r="Q59" i="12" l="1"/>
  <c r="O59" i="12"/>
  <c r="B2" i="4"/>
  <c r="A3" i="4"/>
  <c r="B3" i="4" s="1"/>
  <c r="C723" i="6"/>
  <c r="C731" i="6"/>
  <c r="C739" i="6"/>
  <c r="C747" i="6"/>
  <c r="C755" i="6"/>
  <c r="C763" i="6"/>
  <c r="C771" i="6"/>
  <c r="C779" i="6"/>
  <c r="C787" i="6"/>
  <c r="C795" i="6"/>
  <c r="C803" i="6"/>
  <c r="C811" i="6"/>
  <c r="C819" i="6"/>
  <c r="C827" i="6"/>
  <c r="C835" i="6"/>
  <c r="C843" i="6"/>
  <c r="C851" i="6"/>
  <c r="C859" i="6"/>
  <c r="C867" i="6"/>
  <c r="C875" i="6"/>
  <c r="C883" i="6"/>
  <c r="C891" i="6"/>
  <c r="C899" i="6"/>
  <c r="C801" i="6"/>
  <c r="C825" i="6"/>
  <c r="C857" i="6"/>
  <c r="C897" i="6"/>
  <c r="C746" i="6"/>
  <c r="C810" i="6"/>
  <c r="C866" i="6"/>
  <c r="C898" i="6"/>
  <c r="C724" i="6"/>
  <c r="C732" i="6"/>
  <c r="C740" i="6"/>
  <c r="C748" i="6"/>
  <c r="C756" i="6"/>
  <c r="C764" i="6"/>
  <c r="C772" i="6"/>
  <c r="C780" i="6"/>
  <c r="C788" i="6"/>
  <c r="C796" i="6"/>
  <c r="C804" i="6"/>
  <c r="C812" i="6"/>
  <c r="C820" i="6"/>
  <c r="C828" i="6"/>
  <c r="C836" i="6"/>
  <c r="C844" i="6"/>
  <c r="C852" i="6"/>
  <c r="C860" i="6"/>
  <c r="C868" i="6"/>
  <c r="C876" i="6"/>
  <c r="C884" i="6"/>
  <c r="C892" i="6"/>
  <c r="C900" i="6"/>
  <c r="C793" i="6"/>
  <c r="C841" i="6"/>
  <c r="C889" i="6"/>
  <c r="C754" i="6"/>
  <c r="C778" i="6"/>
  <c r="C826" i="6"/>
  <c r="C874" i="6"/>
  <c r="C725" i="6"/>
  <c r="C733" i="6"/>
  <c r="C741" i="6"/>
  <c r="C749" i="6"/>
  <c r="C757" i="6"/>
  <c r="C765" i="6"/>
  <c r="C773" i="6"/>
  <c r="C781" i="6"/>
  <c r="C789" i="6"/>
  <c r="C797" i="6"/>
  <c r="C805" i="6"/>
  <c r="C813" i="6"/>
  <c r="C821" i="6"/>
  <c r="C829" i="6"/>
  <c r="C837" i="6"/>
  <c r="C845" i="6"/>
  <c r="C853" i="6"/>
  <c r="C861" i="6"/>
  <c r="C869" i="6"/>
  <c r="C877" i="6"/>
  <c r="C885" i="6"/>
  <c r="C893" i="6"/>
  <c r="C901" i="6"/>
  <c r="C785" i="6"/>
  <c r="C833" i="6"/>
  <c r="C881" i="6"/>
  <c r="C770" i="6"/>
  <c r="C818" i="6"/>
  <c r="C842" i="6"/>
  <c r="C882" i="6"/>
  <c r="C726" i="6"/>
  <c r="C734" i="6"/>
  <c r="C742" i="6"/>
  <c r="C750" i="6"/>
  <c r="C758" i="6"/>
  <c r="C766" i="6"/>
  <c r="C774" i="6"/>
  <c r="C782" i="6"/>
  <c r="C790" i="6"/>
  <c r="C798" i="6"/>
  <c r="C806" i="6"/>
  <c r="C814" i="6"/>
  <c r="C822" i="6"/>
  <c r="C830" i="6"/>
  <c r="C838" i="6"/>
  <c r="C846" i="6"/>
  <c r="C854" i="6"/>
  <c r="C862" i="6"/>
  <c r="C870" i="6"/>
  <c r="C878" i="6"/>
  <c r="C886" i="6"/>
  <c r="C894" i="6"/>
  <c r="C902" i="6"/>
  <c r="C777" i="6"/>
  <c r="C809" i="6"/>
  <c r="C873" i="6"/>
  <c r="C730" i="6"/>
  <c r="C786" i="6"/>
  <c r="C834" i="6"/>
  <c r="C890" i="6"/>
  <c r="C727" i="6"/>
  <c r="C735" i="6"/>
  <c r="C743" i="6"/>
  <c r="C751" i="6"/>
  <c r="C759" i="6"/>
  <c r="C767" i="6"/>
  <c r="C775" i="6"/>
  <c r="C783" i="6"/>
  <c r="C791" i="6"/>
  <c r="C799" i="6"/>
  <c r="C807" i="6"/>
  <c r="C815" i="6"/>
  <c r="C823" i="6"/>
  <c r="C831" i="6"/>
  <c r="C839" i="6"/>
  <c r="C847" i="6"/>
  <c r="C855" i="6"/>
  <c r="C863" i="6"/>
  <c r="C871" i="6"/>
  <c r="C879" i="6"/>
  <c r="C887" i="6"/>
  <c r="C895" i="6"/>
  <c r="C903" i="6"/>
  <c r="C769" i="6"/>
  <c r="C849" i="6"/>
  <c r="C762" i="6"/>
  <c r="C802" i="6"/>
  <c r="C850" i="6"/>
  <c r="C728" i="6"/>
  <c r="C736" i="6"/>
  <c r="C744" i="6"/>
  <c r="C752" i="6"/>
  <c r="C760" i="6"/>
  <c r="C768" i="6"/>
  <c r="C776" i="6"/>
  <c r="C784" i="6"/>
  <c r="C792" i="6"/>
  <c r="C800" i="6"/>
  <c r="C808" i="6"/>
  <c r="C816" i="6"/>
  <c r="C824" i="6"/>
  <c r="C832" i="6"/>
  <c r="C840" i="6"/>
  <c r="C848" i="6"/>
  <c r="C856" i="6"/>
  <c r="C864" i="6"/>
  <c r="C872" i="6"/>
  <c r="C880" i="6"/>
  <c r="C888" i="6"/>
  <c r="C896" i="6"/>
  <c r="C761" i="6"/>
  <c r="C817" i="6"/>
  <c r="C865" i="6"/>
  <c r="C738" i="6"/>
  <c r="C794" i="6"/>
  <c r="C858" i="6"/>
  <c r="C729" i="6"/>
  <c r="C737" i="6"/>
  <c r="C745" i="6"/>
  <c r="C753" i="6"/>
  <c r="J730" i="12"/>
  <c r="J746" i="12"/>
  <c r="J762" i="12"/>
  <c r="D785" i="12"/>
  <c r="D849" i="12"/>
  <c r="E724" i="12"/>
  <c r="E740" i="12"/>
  <c r="E756" i="12"/>
  <c r="E772" i="12"/>
  <c r="J817" i="12"/>
  <c r="J881" i="12"/>
  <c r="J733" i="12"/>
  <c r="J749" i="12"/>
  <c r="J765" i="12"/>
  <c r="D797" i="12"/>
  <c r="D861" i="12"/>
  <c r="D723" i="12"/>
  <c r="D739" i="12"/>
  <c r="D755" i="12"/>
  <c r="D771" i="12"/>
  <c r="I797" i="12"/>
  <c r="I861" i="12"/>
  <c r="I728" i="12"/>
  <c r="I744" i="12"/>
  <c r="I760" i="12"/>
  <c r="E777" i="12"/>
  <c r="E841" i="12"/>
  <c r="D726" i="12"/>
  <c r="D742" i="12"/>
  <c r="D758" i="12"/>
  <c r="D774" i="12"/>
  <c r="I825" i="12"/>
  <c r="I889" i="12"/>
  <c r="I735" i="12"/>
  <c r="I751" i="12"/>
  <c r="I767" i="12"/>
  <c r="D805" i="12"/>
  <c r="D869" i="12"/>
  <c r="E729" i="12"/>
  <c r="E745" i="12"/>
  <c r="E761" i="12"/>
  <c r="J789" i="12"/>
  <c r="J853" i="12"/>
  <c r="E784" i="12"/>
  <c r="E800" i="12"/>
  <c r="E816" i="12"/>
  <c r="E832" i="12"/>
  <c r="E848" i="12"/>
  <c r="E864" i="12"/>
  <c r="E880" i="12"/>
  <c r="E896" i="12"/>
  <c r="E783" i="12"/>
  <c r="E799" i="12"/>
  <c r="E815" i="12"/>
  <c r="E831" i="12"/>
  <c r="E847" i="12"/>
  <c r="E863" i="12"/>
  <c r="E879" i="12"/>
  <c r="E895" i="12"/>
  <c r="J784" i="12"/>
  <c r="J800" i="12"/>
  <c r="J816" i="12"/>
  <c r="J832" i="12"/>
  <c r="J848" i="12"/>
  <c r="J864" i="12"/>
  <c r="J880" i="12"/>
  <c r="J896" i="12"/>
  <c r="D786" i="12"/>
  <c r="D802" i="12"/>
  <c r="D818" i="12"/>
  <c r="D834" i="12"/>
  <c r="D850" i="12"/>
  <c r="D866" i="12"/>
  <c r="D882" i="12"/>
  <c r="D898" i="12"/>
  <c r="J787" i="12"/>
  <c r="J803" i="12"/>
  <c r="J819" i="12"/>
  <c r="J835" i="12"/>
  <c r="J851" i="12"/>
  <c r="J867" i="12"/>
  <c r="J883" i="12"/>
  <c r="J899" i="12"/>
  <c r="I786" i="12"/>
  <c r="I802" i="12"/>
  <c r="I818" i="12"/>
  <c r="I834" i="12"/>
  <c r="I850" i="12"/>
  <c r="I866" i="12"/>
  <c r="I882" i="12"/>
  <c r="I898" i="12"/>
  <c r="I883" i="12"/>
  <c r="J818" i="12"/>
  <c r="J850" i="12"/>
  <c r="J882" i="12"/>
  <c r="J734" i="12"/>
  <c r="J750" i="12"/>
  <c r="J766" i="12"/>
  <c r="D801" i="12"/>
  <c r="E728" i="12"/>
  <c r="E744" i="12"/>
  <c r="E760" i="12"/>
  <c r="E776" i="12"/>
  <c r="J833" i="12"/>
  <c r="J897" i="12"/>
  <c r="J737" i="12"/>
  <c r="J753" i="12"/>
  <c r="J769" i="12"/>
  <c r="D813" i="12"/>
  <c r="D877" i="12"/>
  <c r="D727" i="12"/>
  <c r="D743" i="12"/>
  <c r="D759" i="12"/>
  <c r="D775" i="12"/>
  <c r="I813" i="12"/>
  <c r="I877" i="12"/>
  <c r="I732" i="12"/>
  <c r="I748" i="12"/>
  <c r="I764" i="12"/>
  <c r="E793" i="12"/>
  <c r="E857" i="12"/>
  <c r="D746" i="12"/>
  <c r="D762" i="12"/>
  <c r="I777" i="12"/>
  <c r="I730" i="12"/>
  <c r="I746" i="12"/>
  <c r="I762" i="12"/>
  <c r="E785" i="12"/>
  <c r="E849" i="12"/>
  <c r="D724" i="12"/>
  <c r="D740" i="12"/>
  <c r="D756" i="12"/>
  <c r="D772" i="12"/>
  <c r="I817" i="12"/>
  <c r="I881" i="12"/>
  <c r="I733" i="12"/>
  <c r="I749" i="12"/>
  <c r="I765" i="12"/>
  <c r="E797" i="12"/>
  <c r="E861" i="12"/>
  <c r="E727" i="12"/>
  <c r="E743" i="12"/>
  <c r="E759" i="12"/>
  <c r="E775" i="12"/>
  <c r="J813" i="12"/>
  <c r="J877" i="12"/>
  <c r="J732" i="12"/>
  <c r="J748" i="12"/>
  <c r="J764" i="12"/>
  <c r="D793" i="12"/>
  <c r="D857" i="12"/>
  <c r="E730" i="12"/>
  <c r="E746" i="12"/>
  <c r="E762" i="12"/>
  <c r="J777" i="12"/>
  <c r="J841" i="12"/>
  <c r="I723" i="12"/>
  <c r="J735" i="12"/>
  <c r="J751" i="12"/>
  <c r="J767" i="12"/>
  <c r="E805" i="12"/>
  <c r="E869" i="12"/>
  <c r="D729" i="12"/>
  <c r="D745" i="12"/>
  <c r="D761" i="12"/>
  <c r="I789" i="12"/>
  <c r="I853" i="12"/>
  <c r="D784" i="12"/>
  <c r="D800" i="12"/>
  <c r="D816" i="12"/>
  <c r="D832" i="12"/>
  <c r="D848" i="12"/>
  <c r="D864" i="12"/>
  <c r="D880" i="12"/>
  <c r="D896" i="12"/>
  <c r="D783" i="12"/>
  <c r="D799" i="12"/>
  <c r="D815" i="12"/>
  <c r="D831" i="12"/>
  <c r="D847" i="12"/>
  <c r="D863" i="12"/>
  <c r="D879" i="12"/>
  <c r="D895" i="12"/>
  <c r="I784" i="12"/>
  <c r="I800" i="12"/>
  <c r="I816" i="12"/>
  <c r="I832" i="12"/>
  <c r="I848" i="12"/>
  <c r="I864" i="12"/>
  <c r="I880" i="12"/>
  <c r="I896" i="12"/>
  <c r="E786" i="12"/>
  <c r="E802" i="12"/>
  <c r="E818" i="12"/>
  <c r="E834" i="12"/>
  <c r="E850" i="12"/>
  <c r="E866" i="12"/>
  <c r="E882" i="12"/>
  <c r="E898" i="12"/>
  <c r="I787" i="12"/>
  <c r="I803" i="12"/>
  <c r="I819" i="12"/>
  <c r="I835" i="12"/>
  <c r="I851" i="12"/>
  <c r="I867" i="12"/>
  <c r="I899" i="12"/>
  <c r="J786" i="12"/>
  <c r="J802" i="12"/>
  <c r="J834" i="12"/>
  <c r="J866" i="12"/>
  <c r="J898" i="12"/>
  <c r="D865" i="12"/>
  <c r="D730" i="12"/>
  <c r="I841" i="12"/>
  <c r="I739" i="12"/>
  <c r="I755" i="12"/>
  <c r="I771" i="12"/>
  <c r="D821" i="12"/>
  <c r="D885" i="12"/>
  <c r="E733" i="12"/>
  <c r="J738" i="12"/>
  <c r="J754" i="12"/>
  <c r="J770" i="12"/>
  <c r="D817" i="12"/>
  <c r="D881" i="12"/>
  <c r="E732" i="12"/>
  <c r="E748" i="12"/>
  <c r="E764" i="12"/>
  <c r="J785" i="12"/>
  <c r="J849" i="12"/>
  <c r="J725" i="12"/>
  <c r="J741" i="12"/>
  <c r="J757" i="12"/>
  <c r="J773" i="12"/>
  <c r="D829" i="12"/>
  <c r="D893" i="12"/>
  <c r="D731" i="12"/>
  <c r="D747" i="12"/>
  <c r="D763" i="12"/>
  <c r="I776" i="12"/>
  <c r="I829" i="12"/>
  <c r="I893" i="12"/>
  <c r="I736" i="12"/>
  <c r="I752" i="12"/>
  <c r="I768" i="12"/>
  <c r="E809" i="12"/>
  <c r="E873" i="12"/>
  <c r="D734" i="12"/>
  <c r="D750" i="12"/>
  <c r="D766" i="12"/>
  <c r="I793" i="12"/>
  <c r="I857" i="12"/>
  <c r="I727" i="12"/>
  <c r="I743" i="12"/>
  <c r="I759" i="12"/>
  <c r="I775" i="12"/>
  <c r="D837" i="12"/>
  <c r="D901" i="12"/>
  <c r="E737" i="12"/>
  <c r="E753" i="12"/>
  <c r="E769" i="12"/>
  <c r="J821" i="12"/>
  <c r="J885" i="12"/>
  <c r="E792" i="12"/>
  <c r="E808" i="12"/>
  <c r="E824" i="12"/>
  <c r="E840" i="12"/>
  <c r="E856" i="12"/>
  <c r="E872" i="12"/>
  <c r="E888" i="12"/>
  <c r="J901" i="12"/>
  <c r="E791" i="12"/>
  <c r="E807" i="12"/>
  <c r="E823" i="12"/>
  <c r="E839" i="12"/>
  <c r="E855" i="12"/>
  <c r="E871" i="12"/>
  <c r="E887" i="12"/>
  <c r="E903" i="12"/>
  <c r="J792" i="12"/>
  <c r="J808" i="12"/>
  <c r="J824" i="12"/>
  <c r="J840" i="12"/>
  <c r="J856" i="12"/>
  <c r="J872" i="12"/>
  <c r="J888" i="12"/>
  <c r="D778" i="12"/>
  <c r="D794" i="12"/>
  <c r="D810" i="12"/>
  <c r="D826" i="12"/>
  <c r="D842" i="12"/>
  <c r="D858" i="12"/>
  <c r="D874" i="12"/>
  <c r="D890" i="12"/>
  <c r="J779" i="12"/>
  <c r="J795" i="12"/>
  <c r="J811" i="12"/>
  <c r="J827" i="12"/>
  <c r="J843" i="12"/>
  <c r="J859" i="12"/>
  <c r="J875" i="12"/>
  <c r="J891" i="12"/>
  <c r="I778" i="12"/>
  <c r="I794" i="12"/>
  <c r="I810" i="12"/>
  <c r="I826" i="12"/>
  <c r="I842" i="12"/>
  <c r="I858" i="12"/>
  <c r="I874" i="12"/>
  <c r="I890" i="12"/>
  <c r="I738" i="12"/>
  <c r="I754" i="12"/>
  <c r="I770" i="12"/>
  <c r="E817" i="12"/>
  <c r="E881" i="12"/>
  <c r="D732" i="12"/>
  <c r="D748" i="12"/>
  <c r="D764" i="12"/>
  <c r="I785" i="12"/>
  <c r="I849" i="12"/>
  <c r="I725" i="12"/>
  <c r="I741" i="12"/>
  <c r="I757" i="12"/>
  <c r="I773" i="12"/>
  <c r="E829" i="12"/>
  <c r="E893" i="12"/>
  <c r="E735" i="12"/>
  <c r="E751" i="12"/>
  <c r="E767" i="12"/>
  <c r="J781" i="12"/>
  <c r="J845" i="12"/>
  <c r="J724" i="12"/>
  <c r="J740" i="12"/>
  <c r="J756" i="12"/>
  <c r="J772" i="12"/>
  <c r="D825" i="12"/>
  <c r="D889" i="12"/>
  <c r="E738" i="12"/>
  <c r="E754" i="12"/>
  <c r="E770" i="12"/>
  <c r="J809" i="12"/>
  <c r="J873" i="12"/>
  <c r="J727" i="12"/>
  <c r="J743" i="12"/>
  <c r="J759" i="12"/>
  <c r="J775" i="12"/>
  <c r="E837" i="12"/>
  <c r="J726" i="12"/>
  <c r="I766" i="12"/>
  <c r="E897" i="12"/>
  <c r="E768" i="12"/>
  <c r="I897" i="12"/>
  <c r="I761" i="12"/>
  <c r="E763" i="12"/>
  <c r="J861" i="12"/>
  <c r="I756" i="12"/>
  <c r="D873" i="12"/>
  <c r="E758" i="12"/>
  <c r="I873" i="12"/>
  <c r="J747" i="12"/>
  <c r="D853" i="12"/>
  <c r="E741" i="12"/>
  <c r="D765" i="12"/>
  <c r="I837" i="12"/>
  <c r="D792" i="12"/>
  <c r="E820" i="12"/>
  <c r="E844" i="12"/>
  <c r="D868" i="12"/>
  <c r="D892" i="12"/>
  <c r="D791" i="12"/>
  <c r="E819" i="12"/>
  <c r="E843" i="12"/>
  <c r="D867" i="12"/>
  <c r="D891" i="12"/>
  <c r="I792" i="12"/>
  <c r="J820" i="12"/>
  <c r="J844" i="12"/>
  <c r="I868" i="12"/>
  <c r="I892" i="12"/>
  <c r="E794" i="12"/>
  <c r="D822" i="12"/>
  <c r="D846" i="12"/>
  <c r="E870" i="12"/>
  <c r="E894" i="12"/>
  <c r="I795" i="12"/>
  <c r="J823" i="12"/>
  <c r="J847" i="12"/>
  <c r="I871" i="12"/>
  <c r="I895" i="12"/>
  <c r="J794" i="12"/>
  <c r="I822" i="12"/>
  <c r="I846" i="12"/>
  <c r="J870" i="12"/>
  <c r="J894" i="12"/>
  <c r="E747" i="12"/>
  <c r="E835" i="12"/>
  <c r="J860" i="12"/>
  <c r="D838" i="12"/>
  <c r="I783" i="12"/>
  <c r="I887" i="12"/>
  <c r="I838" i="12"/>
  <c r="J886" i="12"/>
  <c r="J829" i="12"/>
  <c r="J825" i="12"/>
  <c r="J739" i="12"/>
  <c r="D757" i="12"/>
  <c r="I821" i="12"/>
  <c r="D860" i="12"/>
  <c r="E811" i="12"/>
  <c r="D859" i="12"/>
  <c r="I836" i="12"/>
  <c r="D790" i="12"/>
  <c r="E838" i="12"/>
  <c r="J791" i="12"/>
  <c r="I863" i="12"/>
  <c r="I814" i="12"/>
  <c r="J890" i="12"/>
  <c r="I758" i="12"/>
  <c r="J761" i="12"/>
  <c r="I845" i="12"/>
  <c r="D754" i="12"/>
  <c r="I747" i="12"/>
  <c r="E765" i="12"/>
  <c r="D788" i="12"/>
  <c r="E868" i="12"/>
  <c r="D787" i="12"/>
  <c r="E867" i="12"/>
  <c r="I788" i="12"/>
  <c r="I840" i="12"/>
  <c r="E790" i="12"/>
  <c r="D870" i="12"/>
  <c r="I791" i="12"/>
  <c r="J871" i="12"/>
  <c r="J895" i="12"/>
  <c r="J842" i="12"/>
  <c r="I726" i="12"/>
  <c r="J774" i="12"/>
  <c r="D728" i="12"/>
  <c r="D768" i="12"/>
  <c r="J729" i="12"/>
  <c r="I769" i="12"/>
  <c r="E723" i="12"/>
  <c r="D767" i="12"/>
  <c r="J893" i="12"/>
  <c r="J760" i="12"/>
  <c r="E889" i="12"/>
  <c r="E766" i="12"/>
  <c r="J889" i="12"/>
  <c r="J755" i="12"/>
  <c r="E853" i="12"/>
  <c r="D741" i="12"/>
  <c r="D769" i="12"/>
  <c r="J869" i="12"/>
  <c r="E796" i="12"/>
  <c r="D820" i="12"/>
  <c r="D844" i="12"/>
  <c r="D872" i="12"/>
  <c r="E900" i="12"/>
  <c r="E795" i="12"/>
  <c r="D819" i="12"/>
  <c r="D843" i="12"/>
  <c r="D871" i="12"/>
  <c r="E899" i="12"/>
  <c r="J796" i="12"/>
  <c r="I820" i="12"/>
  <c r="I844" i="12"/>
  <c r="I872" i="12"/>
  <c r="J900" i="12"/>
  <c r="D798" i="12"/>
  <c r="E822" i="12"/>
  <c r="E846" i="12"/>
  <c r="E874" i="12"/>
  <c r="D902" i="12"/>
  <c r="J799" i="12"/>
  <c r="I823" i="12"/>
  <c r="I847" i="12"/>
  <c r="I875" i="12"/>
  <c r="J903" i="12"/>
  <c r="I798" i="12"/>
  <c r="J822" i="12"/>
  <c r="J846" i="12"/>
  <c r="J874" i="12"/>
  <c r="J902" i="12"/>
  <c r="D753" i="12"/>
  <c r="I828" i="12"/>
  <c r="E830" i="12"/>
  <c r="J783" i="12"/>
  <c r="J887" i="12"/>
  <c r="J830" i="12"/>
  <c r="E752" i="12"/>
  <c r="D845" i="12"/>
  <c r="D809" i="12"/>
  <c r="D789" i="12"/>
  <c r="D780" i="12"/>
  <c r="D884" i="12"/>
  <c r="E859" i="12"/>
  <c r="J836" i="12"/>
  <c r="E810" i="12"/>
  <c r="I811" i="12"/>
  <c r="J810" i="12"/>
  <c r="E750" i="12"/>
  <c r="D733" i="12"/>
  <c r="E812" i="12"/>
  <c r="D888" i="12"/>
  <c r="D887" i="12"/>
  <c r="I860" i="12"/>
  <c r="E890" i="12"/>
  <c r="I839" i="12"/>
  <c r="J838" i="12"/>
  <c r="D760" i="12"/>
  <c r="E755" i="12"/>
  <c r="D841" i="12"/>
  <c r="E821" i="12"/>
  <c r="J837" i="12"/>
  <c r="D840" i="12"/>
  <c r="D811" i="12"/>
  <c r="E891" i="12"/>
  <c r="J868" i="12"/>
  <c r="E842" i="12"/>
  <c r="I815" i="12"/>
  <c r="J814" i="12"/>
  <c r="I894" i="12"/>
  <c r="I734" i="12"/>
  <c r="I774" i="12"/>
  <c r="E736" i="12"/>
  <c r="D776" i="12"/>
  <c r="I729" i="12"/>
  <c r="D781" i="12"/>
  <c r="E731" i="12"/>
  <c r="E771" i="12"/>
  <c r="I724" i="12"/>
  <c r="J768" i="12"/>
  <c r="E726" i="12"/>
  <c r="D770" i="12"/>
  <c r="I763" i="12"/>
  <c r="E885" i="12"/>
  <c r="E749" i="12"/>
  <c r="E773" i="12"/>
  <c r="I869" i="12"/>
  <c r="D796" i="12"/>
  <c r="D824" i="12"/>
  <c r="E852" i="12"/>
  <c r="E876" i="12"/>
  <c r="D900" i="12"/>
  <c r="D795" i="12"/>
  <c r="D823" i="12"/>
  <c r="E851" i="12"/>
  <c r="E875" i="12"/>
  <c r="D899" i="12"/>
  <c r="I796" i="12"/>
  <c r="I824" i="12"/>
  <c r="J852" i="12"/>
  <c r="J876" i="12"/>
  <c r="I900" i="12"/>
  <c r="E798" i="12"/>
  <c r="E826" i="12"/>
  <c r="D854" i="12"/>
  <c r="D878" i="12"/>
  <c r="E902" i="12"/>
  <c r="I799" i="12"/>
  <c r="I827" i="12"/>
  <c r="J855" i="12"/>
  <c r="J879" i="12"/>
  <c r="I903" i="12"/>
  <c r="J798" i="12"/>
  <c r="J826" i="12"/>
  <c r="I854" i="12"/>
  <c r="I878" i="12"/>
  <c r="I902" i="12"/>
  <c r="J831" i="12"/>
  <c r="J778" i="12"/>
  <c r="I830" i="12"/>
  <c r="J878" i="12"/>
  <c r="I742" i="12"/>
  <c r="D744" i="12"/>
  <c r="I801" i="12"/>
  <c r="J745" i="12"/>
  <c r="E739" i="12"/>
  <c r="I781" i="12"/>
  <c r="D738" i="12"/>
  <c r="I731" i="12"/>
  <c r="J771" i="12"/>
  <c r="J805" i="12"/>
  <c r="D804" i="12"/>
  <c r="D856" i="12"/>
  <c r="E779" i="12"/>
  <c r="D827" i="12"/>
  <c r="E883" i="12"/>
  <c r="I804" i="12"/>
  <c r="J884" i="12"/>
  <c r="D782" i="12"/>
  <c r="E858" i="12"/>
  <c r="I807" i="12"/>
  <c r="I859" i="12"/>
  <c r="J806" i="12"/>
  <c r="J858" i="12"/>
  <c r="I750" i="12"/>
  <c r="I833" i="12"/>
  <c r="J797" i="12"/>
  <c r="E742" i="12"/>
  <c r="J731" i="12"/>
  <c r="E757" i="12"/>
  <c r="D808" i="12"/>
  <c r="E860" i="12"/>
  <c r="D779" i="12"/>
  <c r="D883" i="12"/>
  <c r="I808" i="12"/>
  <c r="E782" i="12"/>
  <c r="D862" i="12"/>
  <c r="J839" i="12"/>
  <c r="J782" i="12"/>
  <c r="E825" i="12"/>
  <c r="E788" i="12"/>
  <c r="E787" i="12"/>
  <c r="J788" i="12"/>
  <c r="I888" i="12"/>
  <c r="E862" i="12"/>
  <c r="I790" i="12"/>
  <c r="I865" i="12"/>
  <c r="J742" i="12"/>
  <c r="E801" i="12"/>
  <c r="D736" i="12"/>
  <c r="J801" i="12"/>
  <c r="I737" i="12"/>
  <c r="E781" i="12"/>
  <c r="D735" i="12"/>
  <c r="J776" i="12"/>
  <c r="J728" i="12"/>
  <c r="I772" i="12"/>
  <c r="E734" i="12"/>
  <c r="E774" i="12"/>
  <c r="J723" i="12"/>
  <c r="J763" i="12"/>
  <c r="E901" i="12"/>
  <c r="D749" i="12"/>
  <c r="D773" i="12"/>
  <c r="I885" i="12"/>
  <c r="E804" i="12"/>
  <c r="E828" i="12"/>
  <c r="D852" i="12"/>
  <c r="D876" i="12"/>
  <c r="I901" i="12"/>
  <c r="E803" i="12"/>
  <c r="E827" i="12"/>
  <c r="D851" i="12"/>
  <c r="D875" i="12"/>
  <c r="D903" i="12"/>
  <c r="J804" i="12"/>
  <c r="J828" i="12"/>
  <c r="I852" i="12"/>
  <c r="I876" i="12"/>
  <c r="E778" i="12"/>
  <c r="D806" i="12"/>
  <c r="D830" i="12"/>
  <c r="E854" i="12"/>
  <c r="E878" i="12"/>
  <c r="I779" i="12"/>
  <c r="J807" i="12"/>
  <c r="I855" i="12"/>
  <c r="I879" i="12"/>
  <c r="I806" i="12"/>
  <c r="J854" i="12"/>
  <c r="D833" i="12"/>
  <c r="E813" i="12"/>
  <c r="J736" i="12"/>
  <c r="D777" i="12"/>
  <c r="J793" i="12"/>
  <c r="E725" i="12"/>
  <c r="E780" i="12"/>
  <c r="D828" i="12"/>
  <c r="E884" i="12"/>
  <c r="D803" i="12"/>
  <c r="D855" i="12"/>
  <c r="J780" i="12"/>
  <c r="I856" i="12"/>
  <c r="E806" i="12"/>
  <c r="D886" i="12"/>
  <c r="I831" i="12"/>
  <c r="I782" i="12"/>
  <c r="I886" i="12"/>
  <c r="E833" i="12"/>
  <c r="I745" i="12"/>
  <c r="I740" i="12"/>
  <c r="I809" i="12"/>
  <c r="D725" i="12"/>
  <c r="I805" i="12"/>
  <c r="E836" i="12"/>
  <c r="D807" i="12"/>
  <c r="I780" i="12"/>
  <c r="I884" i="12"/>
  <c r="E886" i="12"/>
  <c r="J863" i="12"/>
  <c r="I862" i="12"/>
  <c r="J744" i="12"/>
  <c r="E789" i="12"/>
  <c r="D836" i="12"/>
  <c r="D835" i="12"/>
  <c r="J812" i="12"/>
  <c r="D814" i="12"/>
  <c r="J815" i="12"/>
  <c r="I891" i="12"/>
  <c r="J862" i="12"/>
  <c r="D897" i="12"/>
  <c r="E877" i="12"/>
  <c r="J752" i="12"/>
  <c r="J857" i="12"/>
  <c r="D737" i="12"/>
  <c r="D812" i="12"/>
  <c r="E892" i="12"/>
  <c r="D839" i="12"/>
  <c r="I812" i="12"/>
  <c r="J892" i="12"/>
  <c r="E814" i="12"/>
  <c r="D894" i="12"/>
  <c r="I843" i="12"/>
  <c r="J790" i="12"/>
  <c r="I870" i="12"/>
  <c r="J758" i="12"/>
  <c r="E865" i="12"/>
  <c r="D752" i="12"/>
  <c r="J865" i="12"/>
  <c r="I753" i="12"/>
  <c r="E845" i="12"/>
  <c r="D751" i="12"/>
  <c r="U59" i="12" l="1"/>
  <c r="O63" i="12" s="1"/>
  <c r="A4" i="4"/>
  <c r="E753" i="6"/>
  <c r="E858" i="6"/>
  <c r="E817" i="6"/>
  <c r="D880" i="6"/>
  <c r="D848" i="6"/>
  <c r="D816" i="6"/>
  <c r="D784" i="6"/>
  <c r="D752" i="6"/>
  <c r="E850" i="6"/>
  <c r="E769" i="6"/>
  <c r="D879" i="6"/>
  <c r="E847" i="6"/>
  <c r="D815" i="6"/>
  <c r="D783" i="6"/>
  <c r="D751" i="6"/>
  <c r="E890" i="6"/>
  <c r="E873" i="6"/>
  <c r="D894" i="6"/>
  <c r="D862" i="6"/>
  <c r="D830" i="6"/>
  <c r="D798" i="6"/>
  <c r="D766" i="6"/>
  <c r="D734" i="6"/>
  <c r="E818" i="6"/>
  <c r="E785" i="6"/>
  <c r="D877" i="6"/>
  <c r="D845" i="6"/>
  <c r="E813" i="6"/>
  <c r="E781" i="6"/>
  <c r="D749" i="6"/>
  <c r="E874" i="6"/>
  <c r="E889" i="6"/>
  <c r="E892" i="6"/>
  <c r="E860" i="6"/>
  <c r="E828" i="6"/>
  <c r="E796" i="6"/>
  <c r="D764" i="6"/>
  <c r="D732" i="6"/>
  <c r="E810" i="6"/>
  <c r="E825" i="6"/>
  <c r="E883" i="6"/>
  <c r="E851" i="6"/>
  <c r="E819" i="6"/>
  <c r="E787" i="6"/>
  <c r="E755" i="6"/>
  <c r="E723" i="6"/>
  <c r="E792" i="6"/>
  <c r="E823" i="6"/>
  <c r="E870" i="6"/>
  <c r="E789" i="6"/>
  <c r="E804" i="6"/>
  <c r="D827" i="6"/>
  <c r="D753" i="6"/>
  <c r="D858" i="6"/>
  <c r="D817" i="6"/>
  <c r="E880" i="6"/>
  <c r="E848" i="6"/>
  <c r="E816" i="6"/>
  <c r="E784" i="6"/>
  <c r="E752" i="6"/>
  <c r="D850" i="6"/>
  <c r="D769" i="6"/>
  <c r="E879" i="6"/>
  <c r="D847" i="6"/>
  <c r="E815" i="6"/>
  <c r="E783" i="6"/>
  <c r="E751" i="6"/>
  <c r="D890" i="6"/>
  <c r="D873" i="6"/>
  <c r="E894" i="6"/>
  <c r="E862" i="6"/>
  <c r="E830" i="6"/>
  <c r="E798" i="6"/>
  <c r="E766" i="6"/>
  <c r="E734" i="6"/>
  <c r="D818" i="6"/>
  <c r="D785" i="6"/>
  <c r="E877" i="6"/>
  <c r="E845" i="6"/>
  <c r="D813" i="6"/>
  <c r="D781" i="6"/>
  <c r="E749" i="6"/>
  <c r="D874" i="6"/>
  <c r="D889" i="6"/>
  <c r="D892" i="6"/>
  <c r="D860" i="6"/>
  <c r="D828" i="6"/>
  <c r="D796" i="6"/>
  <c r="E764" i="6"/>
  <c r="E732" i="6"/>
  <c r="D810" i="6"/>
  <c r="D825" i="6"/>
  <c r="D883" i="6"/>
  <c r="D851" i="6"/>
  <c r="D819" i="6"/>
  <c r="D787" i="6"/>
  <c r="D755" i="6"/>
  <c r="D723" i="6"/>
  <c r="D824" i="6"/>
  <c r="D728" i="6"/>
  <c r="D887" i="6"/>
  <c r="D727" i="6"/>
  <c r="D842" i="6"/>
  <c r="D725" i="6"/>
  <c r="D866" i="6"/>
  <c r="D763" i="6"/>
  <c r="E745" i="6"/>
  <c r="E794" i="6"/>
  <c r="E761" i="6"/>
  <c r="D872" i="6"/>
  <c r="D840" i="6"/>
  <c r="E808" i="6"/>
  <c r="E776" i="6"/>
  <c r="D744" i="6"/>
  <c r="E802" i="6"/>
  <c r="D903" i="6"/>
  <c r="D871" i="6"/>
  <c r="D839" i="6"/>
  <c r="E807" i="6"/>
  <c r="D775" i="6"/>
  <c r="D743" i="6"/>
  <c r="E834" i="6"/>
  <c r="E809" i="6"/>
  <c r="D886" i="6"/>
  <c r="D854" i="6"/>
  <c r="D822" i="6"/>
  <c r="D790" i="6"/>
  <c r="D758" i="6"/>
  <c r="D726" i="6"/>
  <c r="E770" i="6"/>
  <c r="E901" i="6"/>
  <c r="E869" i="6"/>
  <c r="E837" i="6"/>
  <c r="D805" i="6"/>
  <c r="D773" i="6"/>
  <c r="D741" i="6"/>
  <c r="E826" i="6"/>
  <c r="E841" i="6"/>
  <c r="D884" i="6"/>
  <c r="D852" i="6"/>
  <c r="D820" i="6"/>
  <c r="E788" i="6"/>
  <c r="D756" i="6"/>
  <c r="E724" i="6"/>
  <c r="E746" i="6"/>
  <c r="E801" i="6"/>
  <c r="E875" i="6"/>
  <c r="E843" i="6"/>
  <c r="E811" i="6"/>
  <c r="E779" i="6"/>
  <c r="E747" i="6"/>
  <c r="D760" i="6"/>
  <c r="E855" i="6"/>
  <c r="E806" i="6"/>
  <c r="E821" i="6"/>
  <c r="D900" i="6"/>
  <c r="D857" i="6"/>
  <c r="D745" i="6"/>
  <c r="D794" i="6"/>
  <c r="D761" i="6"/>
  <c r="E872" i="6"/>
  <c r="E840" i="6"/>
  <c r="D808" i="6"/>
  <c r="D776" i="6"/>
  <c r="E744" i="6"/>
  <c r="D802" i="6"/>
  <c r="E903" i="6"/>
  <c r="E871" i="6"/>
  <c r="E839" i="6"/>
  <c r="D807" i="6"/>
  <c r="E775" i="6"/>
  <c r="E743" i="6"/>
  <c r="D834" i="6"/>
  <c r="D809" i="6"/>
  <c r="E886" i="6"/>
  <c r="E854" i="6"/>
  <c r="E822" i="6"/>
  <c r="E790" i="6"/>
  <c r="E758" i="6"/>
  <c r="E726" i="6"/>
  <c r="D770" i="6"/>
  <c r="D901" i="6"/>
  <c r="D869" i="6"/>
  <c r="D837" i="6"/>
  <c r="E805" i="6"/>
  <c r="E773" i="6"/>
  <c r="E741" i="6"/>
  <c r="D826" i="6"/>
  <c r="D841" i="6"/>
  <c r="E884" i="6"/>
  <c r="E852" i="6"/>
  <c r="E820" i="6"/>
  <c r="D788" i="6"/>
  <c r="E756" i="6"/>
  <c r="D724" i="6"/>
  <c r="D746" i="6"/>
  <c r="D801" i="6"/>
  <c r="D875" i="6"/>
  <c r="D843" i="6"/>
  <c r="D811" i="6"/>
  <c r="D779" i="6"/>
  <c r="D747" i="6"/>
  <c r="D856" i="6"/>
  <c r="E791" i="6"/>
  <c r="E838" i="6"/>
  <c r="D885" i="6"/>
  <c r="E868" i="6"/>
  <c r="D740" i="6"/>
  <c r="D731" i="6"/>
  <c r="E737" i="6"/>
  <c r="E738" i="6"/>
  <c r="D896" i="6"/>
  <c r="E864" i="6"/>
  <c r="D832" i="6"/>
  <c r="D800" i="6"/>
  <c r="D768" i="6"/>
  <c r="D736" i="6"/>
  <c r="E762" i="6"/>
  <c r="D895" i="6"/>
  <c r="D863" i="6"/>
  <c r="D831" i="6"/>
  <c r="D799" i="6"/>
  <c r="D767" i="6"/>
  <c r="D735" i="6"/>
  <c r="E786" i="6"/>
  <c r="E777" i="6"/>
  <c r="D878" i="6"/>
  <c r="D846" i="6"/>
  <c r="D814" i="6"/>
  <c r="D782" i="6"/>
  <c r="D750" i="6"/>
  <c r="E882" i="6"/>
  <c r="E881" i="6"/>
  <c r="D893" i="6"/>
  <c r="D861" i="6"/>
  <c r="D829" i="6"/>
  <c r="D797" i="6"/>
  <c r="E765" i="6"/>
  <c r="E733" i="6"/>
  <c r="E778" i="6"/>
  <c r="E793" i="6"/>
  <c r="E876" i="6"/>
  <c r="E844" i="6"/>
  <c r="D812" i="6"/>
  <c r="D780" i="6"/>
  <c r="E748" i="6"/>
  <c r="E898" i="6"/>
  <c r="E897" i="6"/>
  <c r="E899" i="6"/>
  <c r="E867" i="6"/>
  <c r="E835" i="6"/>
  <c r="E803" i="6"/>
  <c r="E771" i="6"/>
  <c r="E739" i="6"/>
  <c r="E888" i="6"/>
  <c r="D759" i="6"/>
  <c r="E774" i="6"/>
  <c r="E853" i="6"/>
  <c r="E836" i="6"/>
  <c r="D859" i="6"/>
  <c r="D737" i="6"/>
  <c r="D738" i="6"/>
  <c r="E896" i="6"/>
  <c r="D864" i="6"/>
  <c r="E832" i="6"/>
  <c r="E800" i="6"/>
  <c r="E768" i="6"/>
  <c r="E736" i="6"/>
  <c r="D762" i="6"/>
  <c r="E895" i="6"/>
  <c r="E863" i="6"/>
  <c r="E831" i="6"/>
  <c r="E799" i="6"/>
  <c r="E767" i="6"/>
  <c r="E735" i="6"/>
  <c r="D786" i="6"/>
  <c r="D777" i="6"/>
  <c r="E878" i="6"/>
  <c r="E846" i="6"/>
  <c r="E814" i="6"/>
  <c r="E782" i="6"/>
  <c r="E750" i="6"/>
  <c r="D882" i="6"/>
  <c r="D881" i="6"/>
  <c r="E893" i="6"/>
  <c r="E861" i="6"/>
  <c r="E829" i="6"/>
  <c r="E797" i="6"/>
  <c r="D765" i="6"/>
  <c r="D733" i="6"/>
  <c r="D778" i="6"/>
  <c r="D793" i="6"/>
  <c r="D876" i="6"/>
  <c r="D844" i="6"/>
  <c r="E812" i="6"/>
  <c r="E780" i="6"/>
  <c r="D748" i="6"/>
  <c r="D898" i="6"/>
  <c r="D897" i="6"/>
  <c r="D899" i="6"/>
  <c r="D867" i="6"/>
  <c r="D835" i="6"/>
  <c r="D803" i="6"/>
  <c r="D771" i="6"/>
  <c r="D739" i="6"/>
  <c r="D865" i="6"/>
  <c r="E902" i="6"/>
  <c r="D833" i="6"/>
  <c r="D754" i="6"/>
  <c r="D891" i="6"/>
  <c r="E729" i="6"/>
  <c r="E865" i="6"/>
  <c r="D888" i="6"/>
  <c r="E856" i="6"/>
  <c r="E824" i="6"/>
  <c r="D792" i="6"/>
  <c r="E760" i="6"/>
  <c r="E728" i="6"/>
  <c r="E849" i="6"/>
  <c r="E887" i="6"/>
  <c r="D855" i="6"/>
  <c r="D823" i="6"/>
  <c r="D791" i="6"/>
  <c r="E759" i="6"/>
  <c r="E727" i="6"/>
  <c r="E730" i="6"/>
  <c r="D902" i="6"/>
  <c r="D870" i="6"/>
  <c r="D838" i="6"/>
  <c r="D806" i="6"/>
  <c r="D774" i="6"/>
  <c r="D742" i="6"/>
  <c r="E842" i="6"/>
  <c r="E833" i="6"/>
  <c r="E885" i="6"/>
  <c r="D853" i="6"/>
  <c r="D821" i="6"/>
  <c r="D789" i="6"/>
  <c r="D757" i="6"/>
  <c r="E725" i="6"/>
  <c r="E754" i="6"/>
  <c r="E900" i="6"/>
  <c r="D868" i="6"/>
  <c r="D836" i="6"/>
  <c r="D804" i="6"/>
  <c r="E772" i="6"/>
  <c r="E740" i="6"/>
  <c r="E866" i="6"/>
  <c r="E857" i="6"/>
  <c r="E891" i="6"/>
  <c r="E859" i="6"/>
  <c r="E827" i="6"/>
  <c r="E795" i="6"/>
  <c r="E763" i="6"/>
  <c r="E731" i="6"/>
  <c r="D729" i="6"/>
  <c r="D849" i="6"/>
  <c r="D730" i="6"/>
  <c r="E742" i="6"/>
  <c r="E757" i="6"/>
  <c r="D772" i="6"/>
  <c r="D795" i="6"/>
  <c r="B4" i="4" l="1"/>
  <c r="A5" i="4"/>
  <c r="B5" i="4" l="1"/>
  <c r="A6" i="4"/>
  <c r="B6" i="4" l="1"/>
  <c r="A7" i="4"/>
  <c r="B7" i="4" l="1"/>
  <c r="A8" i="4"/>
  <c r="B8" i="4" l="1"/>
  <c r="A9" i="4"/>
  <c r="B9" i="4" l="1"/>
  <c r="A10" i="4"/>
  <c r="B10" i="4" l="1"/>
  <c r="A11" i="4"/>
  <c r="B11" i="4" l="1"/>
  <c r="A12" i="4"/>
  <c r="B12" i="4" l="1"/>
  <c r="A13" i="4"/>
  <c r="B13" i="4" l="1"/>
  <c r="A14" i="4"/>
  <c r="B14" i="4" l="1"/>
  <c r="A15" i="4"/>
  <c r="B15" i="4" l="1"/>
  <c r="A16" i="4"/>
  <c r="B16" i="4" l="1"/>
  <c r="A17" i="4"/>
  <c r="B17" i="4" l="1"/>
  <c r="A18" i="4"/>
  <c r="B18" i="4" l="1"/>
  <c r="A19" i="4"/>
  <c r="B19" i="4" l="1"/>
  <c r="A20" i="4"/>
  <c r="B20" i="4" l="1"/>
  <c r="A21" i="4"/>
  <c r="B21" i="4" l="1"/>
  <c r="A22" i="4"/>
  <c r="B22" i="4" l="1"/>
  <c r="A23" i="4"/>
  <c r="B23" i="4" l="1"/>
  <c r="A24" i="4"/>
  <c r="B24" i="4" l="1"/>
  <c r="A25" i="4"/>
  <c r="B25" i="4" l="1"/>
  <c r="A26" i="4"/>
  <c r="B26" i="4" l="1"/>
  <c r="A27" i="4"/>
  <c r="B27" i="4" l="1"/>
  <c r="A28" i="4"/>
  <c r="B28" i="4" l="1"/>
  <c r="A29" i="4"/>
  <c r="B29" i="4" l="1"/>
  <c r="A30" i="4"/>
  <c r="B30" i="4" l="1"/>
  <c r="A31" i="4"/>
  <c r="B31" i="4" l="1"/>
  <c r="A32" i="4"/>
  <c r="B32" i="4" l="1"/>
  <c r="A33" i="4"/>
  <c r="B33" i="4" l="1"/>
  <c r="A34" i="4"/>
  <c r="B34" i="4" l="1"/>
  <c r="A35" i="4"/>
  <c r="B35" i="4" l="1"/>
  <c r="A36" i="4"/>
  <c r="B36" i="4" l="1"/>
  <c r="A37" i="4"/>
  <c r="B37" i="4" l="1"/>
  <c r="A38" i="4"/>
  <c r="B38" i="4" l="1"/>
  <c r="A39" i="4"/>
  <c r="B39" i="4" l="1"/>
  <c r="A40" i="4"/>
  <c r="B40" i="4" l="1"/>
  <c r="A41" i="4"/>
  <c r="B41" i="4" l="1"/>
  <c r="A42" i="4"/>
  <c r="B42" i="4" l="1"/>
  <c r="A43" i="4"/>
  <c r="B43" i="4" l="1"/>
  <c r="A44" i="4"/>
  <c r="B44" i="4" l="1"/>
  <c r="A45" i="4"/>
  <c r="B45" i="4" l="1"/>
  <c r="A46" i="4"/>
  <c r="B46" i="4" l="1"/>
  <c r="A47" i="4"/>
  <c r="B47" i="4" l="1"/>
  <c r="A48" i="4"/>
  <c r="B48" i="4" l="1"/>
  <c r="A49" i="4"/>
  <c r="B49" i="4" l="1"/>
  <c r="A50" i="4"/>
  <c r="B50" i="4" l="1"/>
  <c r="A51" i="4"/>
  <c r="B51" i="4" l="1"/>
  <c r="A52" i="4"/>
  <c r="B52" i="4" l="1"/>
  <c r="A53" i="4"/>
  <c r="B53" i="4" l="1"/>
  <c r="A54" i="4"/>
  <c r="B54" i="4" l="1"/>
  <c r="A55" i="4"/>
  <c r="B55" i="4" l="1"/>
  <c r="A56" i="4"/>
  <c r="B56" i="4" l="1"/>
  <c r="A57" i="4"/>
  <c r="B57" i="4" l="1"/>
  <c r="A58" i="4"/>
  <c r="B58" i="4" l="1"/>
  <c r="A59" i="4"/>
  <c r="B59" i="4" l="1"/>
  <c r="A60" i="4"/>
  <c r="B60" i="4" l="1"/>
  <c r="A61" i="4"/>
  <c r="B61" i="4" l="1"/>
  <c r="A62" i="4"/>
  <c r="B62" i="4" l="1"/>
  <c r="A63" i="4"/>
  <c r="B63" i="4" l="1"/>
  <c r="A64" i="4"/>
  <c r="B64" i="4" l="1"/>
  <c r="A65" i="4"/>
  <c r="B65" i="4" l="1"/>
  <c r="A66" i="4"/>
  <c r="B66" i="4" l="1"/>
  <c r="A67" i="4"/>
  <c r="B67" i="4" l="1"/>
  <c r="A68" i="4"/>
  <c r="B68" i="4" l="1"/>
  <c r="A69" i="4"/>
  <c r="B69" i="4" l="1"/>
  <c r="A70" i="4"/>
  <c r="B70" i="4" l="1"/>
  <c r="A71" i="4"/>
  <c r="B71" i="4" l="1"/>
  <c r="A72" i="4"/>
  <c r="B72" i="4" l="1"/>
  <c r="A73" i="4"/>
  <c r="B73" i="4" l="1"/>
  <c r="A74" i="4"/>
  <c r="B74" i="4" l="1"/>
  <c r="A75" i="4"/>
  <c r="B75" i="4" l="1"/>
  <c r="A76" i="4"/>
  <c r="B76" i="4" l="1"/>
  <c r="A77" i="4"/>
  <c r="B77" i="4" l="1"/>
  <c r="A78" i="4"/>
  <c r="B78" i="4" l="1"/>
  <c r="A79" i="4"/>
  <c r="B79" i="4" l="1"/>
  <c r="A80" i="4"/>
  <c r="B80" i="4" l="1"/>
  <c r="A81" i="4"/>
  <c r="B81" i="4" l="1"/>
  <c r="A82" i="4"/>
  <c r="B82" i="4" l="1"/>
  <c r="A83" i="4"/>
  <c r="B83" i="4" l="1"/>
  <c r="A84" i="4"/>
  <c r="B84" i="4" l="1"/>
  <c r="A85" i="4"/>
  <c r="B85" i="4" l="1"/>
  <c r="A86" i="4"/>
  <c r="B86" i="4" l="1"/>
  <c r="A87" i="4"/>
  <c r="B87" i="4" l="1"/>
  <c r="A88" i="4"/>
  <c r="B88" i="4" l="1"/>
  <c r="A89" i="4"/>
  <c r="B89" i="4" l="1"/>
  <c r="A90" i="4"/>
  <c r="B90" i="4" l="1"/>
  <c r="A91" i="4"/>
  <c r="B91" i="4" l="1"/>
  <c r="A92" i="4"/>
  <c r="B92" i="4" l="1"/>
  <c r="A93" i="4"/>
  <c r="B93" i="4" l="1"/>
  <c r="A94" i="4"/>
  <c r="B94" i="4" l="1"/>
  <c r="A95" i="4"/>
  <c r="B95" i="4" l="1"/>
  <c r="A96" i="4"/>
  <c r="B96" i="4" l="1"/>
  <c r="A97" i="4"/>
  <c r="B97" i="4" l="1"/>
  <c r="A98" i="4"/>
  <c r="A99" i="4" l="1"/>
  <c r="B98" i="4"/>
  <c r="B99" i="4" l="1"/>
  <c r="A100" i="4"/>
  <c r="B100" i="4" l="1"/>
  <c r="A101" i="4"/>
  <c r="B101" i="4" l="1"/>
  <c r="A102" i="4"/>
  <c r="A103" i="4" l="1"/>
  <c r="B102" i="4"/>
  <c r="B103" i="4" l="1"/>
  <c r="A104" i="4"/>
  <c r="B104" i="4" l="1"/>
  <c r="A105" i="4"/>
  <c r="B105" i="4" l="1"/>
  <c r="A106" i="4"/>
  <c r="A107" i="4" l="1"/>
  <c r="B106" i="4"/>
  <c r="B107" i="4" l="1"/>
  <c r="A108" i="4"/>
  <c r="B108" i="4" l="1"/>
  <c r="A109" i="4"/>
  <c r="B109" i="4" l="1"/>
  <c r="A110" i="4"/>
  <c r="A111" i="4" l="1"/>
  <c r="B110" i="4"/>
  <c r="B111" i="4" l="1"/>
  <c r="A112" i="4"/>
  <c r="B112" i="4" l="1"/>
  <c r="A113" i="4"/>
  <c r="B113" i="4" l="1"/>
  <c r="A114" i="4"/>
  <c r="A115" i="4" l="1"/>
  <c r="B114" i="4"/>
  <c r="B115" i="4" l="1"/>
  <c r="A116" i="4"/>
  <c r="B116" i="4" l="1"/>
  <c r="A117" i="4"/>
  <c r="B117" i="4" l="1"/>
  <c r="A118" i="4"/>
  <c r="A119" i="4" l="1"/>
  <c r="B118" i="4"/>
  <c r="B119" i="4" l="1"/>
  <c r="A120" i="4"/>
  <c r="B120" i="4" l="1"/>
  <c r="A121" i="4"/>
  <c r="B121" i="4" l="1"/>
  <c r="A122" i="4"/>
  <c r="A123" i="4" l="1"/>
  <c r="B122" i="4"/>
  <c r="B123" i="4" l="1"/>
  <c r="A124" i="4"/>
  <c r="B124" i="4" l="1"/>
  <c r="A125" i="4"/>
  <c r="B125" i="4" l="1"/>
  <c r="A126" i="4"/>
  <c r="A127" i="4" l="1"/>
  <c r="B126" i="4"/>
  <c r="B127" i="4" l="1"/>
  <c r="A128" i="4"/>
  <c r="B128" i="4" l="1"/>
  <c r="A129" i="4"/>
  <c r="B129" i="4" l="1"/>
  <c r="A130" i="4"/>
  <c r="A131" i="4" l="1"/>
  <c r="B130" i="4"/>
  <c r="B131" i="4" l="1"/>
  <c r="A132" i="4"/>
  <c r="B132" i="4" l="1"/>
  <c r="A133" i="4"/>
  <c r="B133" i="4" l="1"/>
  <c r="A134" i="4"/>
  <c r="A135" i="4" l="1"/>
  <c r="B134" i="4"/>
  <c r="B135" i="4" l="1"/>
  <c r="A136" i="4"/>
  <c r="B136" i="4" l="1"/>
  <c r="A137" i="4"/>
  <c r="B137" i="4" l="1"/>
  <c r="A138" i="4"/>
  <c r="A139" i="4" l="1"/>
  <c r="B138" i="4"/>
  <c r="B139" i="4" l="1"/>
  <c r="A140" i="4"/>
  <c r="B140" i="4" l="1"/>
  <c r="A141" i="4"/>
  <c r="B141" i="4" l="1"/>
  <c r="A142" i="4"/>
  <c r="A143" i="4" l="1"/>
  <c r="B142" i="4"/>
  <c r="B143" i="4" l="1"/>
  <c r="A144" i="4"/>
  <c r="B144" i="4" l="1"/>
  <c r="A145" i="4"/>
  <c r="B145" i="4" l="1"/>
  <c r="A146" i="4"/>
  <c r="A147" i="4" l="1"/>
  <c r="B146" i="4"/>
  <c r="B147" i="4" l="1"/>
  <c r="A148" i="4"/>
  <c r="B148" i="4" l="1"/>
  <c r="A149" i="4"/>
  <c r="B149" i="4" l="1"/>
  <c r="A150" i="4"/>
  <c r="A151" i="4" l="1"/>
  <c r="B150" i="4"/>
  <c r="B151" i="4" l="1"/>
  <c r="A152" i="4"/>
  <c r="B152" i="4" l="1"/>
  <c r="A153" i="4"/>
  <c r="B153" i="4" l="1"/>
  <c r="A154" i="4"/>
  <c r="A155" i="4" l="1"/>
  <c r="B154" i="4"/>
  <c r="B155" i="4" l="1"/>
  <c r="A156" i="4"/>
  <c r="B156" i="4" l="1"/>
  <c r="A157" i="4"/>
  <c r="B157" i="4" l="1"/>
  <c r="A158" i="4"/>
  <c r="A159" i="4" l="1"/>
  <c r="B158" i="4"/>
  <c r="B159" i="4" l="1"/>
  <c r="A160" i="4"/>
  <c r="B160" i="4" l="1"/>
  <c r="A161" i="4"/>
  <c r="B161" i="4" l="1"/>
  <c r="A162" i="4"/>
  <c r="A163" i="4" l="1"/>
  <c r="B162" i="4"/>
  <c r="B163" i="4" l="1"/>
  <c r="A164" i="4"/>
  <c r="B164" i="4" l="1"/>
  <c r="A165" i="4"/>
  <c r="B165" i="4" l="1"/>
  <c r="A166" i="4"/>
  <c r="A167" i="4" l="1"/>
  <c r="B166" i="4"/>
  <c r="B167" i="4" l="1"/>
  <c r="A168" i="4"/>
  <c r="B168" i="4" l="1"/>
  <c r="A169" i="4"/>
  <c r="B169" i="4" l="1"/>
  <c r="A170" i="4"/>
  <c r="A171" i="4" l="1"/>
  <c r="B170" i="4"/>
  <c r="B171" i="4" l="1"/>
  <c r="A172" i="4"/>
  <c r="B172" i="4" l="1"/>
  <c r="A173" i="4"/>
  <c r="B173" i="4" l="1"/>
  <c r="A174" i="4"/>
  <c r="A175" i="4" l="1"/>
  <c r="B174" i="4"/>
  <c r="B175" i="4" l="1"/>
  <c r="A176" i="4"/>
  <c r="B176" i="4" l="1"/>
  <c r="A177" i="4"/>
  <c r="B177" i="4" l="1"/>
  <c r="A178" i="4"/>
  <c r="A179" i="4" l="1"/>
  <c r="B178" i="4"/>
  <c r="B179" i="4" l="1"/>
  <c r="A180" i="4"/>
  <c r="B180" i="4" l="1"/>
  <c r="A181" i="4"/>
  <c r="B181" i="4" l="1"/>
  <c r="A182" i="4"/>
  <c r="A183" i="4" l="1"/>
  <c r="B182" i="4"/>
  <c r="B183" i="4" l="1"/>
  <c r="A184" i="4"/>
  <c r="B184" i="4" l="1"/>
  <c r="A185" i="4"/>
  <c r="B185" i="4" l="1"/>
  <c r="A186" i="4"/>
  <c r="A187" i="4" l="1"/>
  <c r="B186" i="4"/>
  <c r="B187" i="4" l="1"/>
  <c r="A188" i="4"/>
  <c r="B188" i="4" l="1"/>
  <c r="A189" i="4"/>
  <c r="B189" i="4" l="1"/>
  <c r="A190" i="4"/>
  <c r="A191" i="4" l="1"/>
  <c r="B190" i="4"/>
  <c r="B191" i="4" l="1"/>
  <c r="A192" i="4"/>
  <c r="B192" i="4" l="1"/>
  <c r="A193" i="4"/>
  <c r="B193" i="4" l="1"/>
  <c r="A194" i="4"/>
  <c r="A195" i="4" l="1"/>
  <c r="B194" i="4"/>
  <c r="B195" i="4" l="1"/>
  <c r="A196" i="4"/>
  <c r="B196" i="4" l="1"/>
  <c r="A197" i="4"/>
  <c r="B197" i="4" l="1"/>
  <c r="A198" i="4"/>
  <c r="A199" i="4" l="1"/>
  <c r="B198" i="4"/>
  <c r="B199" i="4" l="1"/>
  <c r="A200" i="4"/>
  <c r="B200" i="4" l="1"/>
  <c r="A201" i="4"/>
  <c r="B201" i="4" l="1"/>
  <c r="A202" i="4"/>
  <c r="A203" i="4" l="1"/>
  <c r="B202" i="4"/>
  <c r="B203" i="4" l="1"/>
  <c r="A204" i="4"/>
  <c r="B204" i="4" l="1"/>
  <c r="A205" i="4"/>
  <c r="B205" i="4" l="1"/>
  <c r="A206" i="4"/>
  <c r="A207" i="4" l="1"/>
  <c r="B206" i="4"/>
  <c r="B207" i="4" l="1"/>
  <c r="A208" i="4"/>
  <c r="B208" i="4" l="1"/>
  <c r="A209" i="4"/>
  <c r="B209" i="4" l="1"/>
  <c r="A210" i="4"/>
  <c r="A211" i="4" l="1"/>
  <c r="B210" i="4"/>
  <c r="B211" i="4" l="1"/>
  <c r="A212" i="4"/>
  <c r="B212" i="4" l="1"/>
  <c r="A213" i="4"/>
  <c r="B213" i="4" l="1"/>
  <c r="A214" i="4"/>
  <c r="A215" i="4" l="1"/>
  <c r="B214" i="4"/>
  <c r="B215" i="4" l="1"/>
  <c r="A216" i="4"/>
  <c r="B216" i="4" l="1"/>
  <c r="A217" i="4"/>
  <c r="B217" i="4" l="1"/>
  <c r="A218" i="4"/>
  <c r="A219" i="4" l="1"/>
  <c r="B218" i="4"/>
  <c r="B219" i="4" l="1"/>
  <c r="A220" i="4"/>
  <c r="B220" i="4" l="1"/>
  <c r="A221" i="4"/>
  <c r="B221" i="4" l="1"/>
  <c r="A222" i="4"/>
  <c r="A223" i="4" l="1"/>
  <c r="B222" i="4"/>
  <c r="B223" i="4" l="1"/>
  <c r="A224" i="4"/>
  <c r="B224" i="4" l="1"/>
  <c r="A225" i="4"/>
  <c r="B225" i="4" l="1"/>
  <c r="A226" i="4"/>
  <c r="A227" i="4" l="1"/>
  <c r="B226" i="4"/>
  <c r="B227" i="4" l="1"/>
  <c r="A228" i="4"/>
  <c r="B228" i="4" l="1"/>
  <c r="A229" i="4"/>
  <c r="B229" i="4" l="1"/>
  <c r="A230" i="4"/>
  <c r="A231" i="4" l="1"/>
  <c r="B230" i="4"/>
  <c r="B231" i="4" l="1"/>
  <c r="A232" i="4"/>
  <c r="B232" i="4" l="1"/>
  <c r="A233" i="4"/>
  <c r="B233" i="4" l="1"/>
  <c r="A234" i="4"/>
  <c r="A235" i="4" l="1"/>
  <c r="B234" i="4"/>
  <c r="B235" i="4" l="1"/>
  <c r="A236" i="4"/>
  <c r="B236" i="4" l="1"/>
  <c r="A237" i="4"/>
  <c r="B237" i="4" l="1"/>
  <c r="A238" i="4"/>
  <c r="A239" i="4" l="1"/>
  <c r="B238" i="4"/>
  <c r="B239" i="4" l="1"/>
  <c r="A240" i="4"/>
  <c r="B240" i="4" l="1"/>
  <c r="A241" i="4"/>
  <c r="B241" i="4" l="1"/>
  <c r="A242" i="4"/>
  <c r="A243" i="4" l="1"/>
  <c r="B242" i="4"/>
  <c r="B243" i="4" l="1"/>
  <c r="A244" i="4"/>
  <c r="B244" i="4" l="1"/>
  <c r="A245" i="4"/>
  <c r="B245" i="4" l="1"/>
  <c r="A246" i="4"/>
  <c r="A247" i="4" l="1"/>
  <c r="B246" i="4"/>
  <c r="B247" i="4" l="1"/>
  <c r="A248" i="4"/>
  <c r="B248" i="4" l="1"/>
  <c r="A249" i="4"/>
  <c r="B249" i="4" l="1"/>
  <c r="A250" i="4"/>
  <c r="A251" i="4" l="1"/>
  <c r="B250" i="4"/>
  <c r="B251" i="4" l="1"/>
  <c r="A252" i="4"/>
  <c r="B252" i="4" l="1"/>
  <c r="A253" i="4"/>
  <c r="B253" i="4" l="1"/>
  <c r="A254" i="4"/>
  <c r="A255" i="4" l="1"/>
  <c r="B254" i="4"/>
  <c r="B255" i="4" l="1"/>
  <c r="A256" i="4"/>
  <c r="B256" i="4" l="1"/>
  <c r="A257" i="4"/>
  <c r="B257" i="4" l="1"/>
  <c r="A258" i="4"/>
  <c r="A259" i="4" l="1"/>
  <c r="B258" i="4"/>
  <c r="B259" i="4" l="1"/>
  <c r="A260" i="4"/>
  <c r="B260" i="4" l="1"/>
  <c r="A261" i="4"/>
  <c r="B261" i="4" l="1"/>
  <c r="A262" i="4"/>
  <c r="A263" i="4" l="1"/>
  <c r="B262" i="4"/>
  <c r="B263" i="4" l="1"/>
  <c r="A264" i="4"/>
  <c r="B264" i="4" l="1"/>
  <c r="A265" i="4"/>
  <c r="B265" i="4" l="1"/>
  <c r="A266" i="4"/>
  <c r="A267" i="4" l="1"/>
  <c r="B266" i="4"/>
  <c r="B267" i="4" l="1"/>
  <c r="A268" i="4"/>
  <c r="B268" i="4" l="1"/>
  <c r="A269" i="4"/>
  <c r="B269" i="4" l="1"/>
  <c r="A270" i="4"/>
  <c r="A271" i="4" l="1"/>
  <c r="B270" i="4"/>
  <c r="B271" i="4" l="1"/>
  <c r="A272" i="4"/>
  <c r="B272" i="4" l="1"/>
  <c r="A273" i="4"/>
  <c r="B273" i="4" l="1"/>
  <c r="A274" i="4"/>
  <c r="A275" i="4" l="1"/>
  <c r="B274" i="4"/>
  <c r="B275" i="4" l="1"/>
  <c r="A276" i="4"/>
  <c r="B276" i="4" l="1"/>
  <c r="A277" i="4"/>
  <c r="B277" i="4" l="1"/>
  <c r="A278" i="4"/>
  <c r="A279" i="4" l="1"/>
  <c r="B278" i="4"/>
  <c r="B279" i="4" l="1"/>
  <c r="A280" i="4"/>
  <c r="B280" i="4" l="1"/>
  <c r="A281" i="4"/>
  <c r="B281" i="4" l="1"/>
  <c r="A282" i="4"/>
  <c r="A283" i="4" l="1"/>
  <c r="B282" i="4"/>
  <c r="B283" i="4" l="1"/>
  <c r="A284" i="4"/>
  <c r="B284" i="4" l="1"/>
  <c r="A285" i="4"/>
  <c r="B285" i="4" l="1"/>
  <c r="A286" i="4"/>
  <c r="A287" i="4" l="1"/>
  <c r="B286" i="4"/>
  <c r="B287" i="4" l="1"/>
  <c r="A288" i="4"/>
  <c r="B288" i="4" l="1"/>
  <c r="A289" i="4"/>
  <c r="B289" i="4" l="1"/>
  <c r="A290" i="4"/>
  <c r="A291" i="4" l="1"/>
  <c r="B290" i="4"/>
  <c r="B291" i="4" l="1"/>
  <c r="A292" i="4"/>
  <c r="B292" i="4" l="1"/>
  <c r="A293" i="4"/>
  <c r="B293" i="4" l="1"/>
  <c r="A294" i="4"/>
  <c r="A295" i="4" l="1"/>
  <c r="B294" i="4"/>
  <c r="B295" i="4" l="1"/>
  <c r="A296" i="4"/>
  <c r="B296" i="4" l="1"/>
  <c r="A297" i="4"/>
  <c r="B297" i="4" l="1"/>
  <c r="A298" i="4"/>
  <c r="A299" i="4" l="1"/>
  <c r="B298" i="4"/>
  <c r="B299" i="4" l="1"/>
  <c r="A300" i="4"/>
  <c r="B300" i="4" l="1"/>
  <c r="A301" i="4"/>
  <c r="B301" i="4" l="1"/>
  <c r="A302" i="4"/>
  <c r="A303" i="4" l="1"/>
  <c r="B302" i="4"/>
  <c r="B303" i="4" l="1"/>
  <c r="A304" i="4"/>
  <c r="B304" i="4" l="1"/>
  <c r="A305" i="4"/>
  <c r="B305" i="4" l="1"/>
  <c r="A306" i="4"/>
  <c r="A307" i="4" l="1"/>
  <c r="B306" i="4"/>
  <c r="B307" i="4" l="1"/>
  <c r="A308" i="4"/>
  <c r="B308" i="4" l="1"/>
  <c r="A309" i="4"/>
  <c r="B309" i="4" l="1"/>
  <c r="A310" i="4"/>
  <c r="A311" i="4" l="1"/>
  <c r="B310" i="4"/>
  <c r="B311" i="4" l="1"/>
  <c r="A312" i="4"/>
  <c r="B312" i="4" l="1"/>
  <c r="A313" i="4"/>
  <c r="B313" i="4" l="1"/>
  <c r="A314" i="4"/>
  <c r="A315" i="4" l="1"/>
  <c r="B314" i="4"/>
  <c r="B315" i="4" l="1"/>
  <c r="A316" i="4"/>
  <c r="B316" i="4" l="1"/>
  <c r="A317" i="4"/>
  <c r="B317" i="4" l="1"/>
  <c r="A318" i="4"/>
  <c r="A319" i="4" l="1"/>
  <c r="B318" i="4"/>
  <c r="B319" i="4" l="1"/>
  <c r="A320" i="4"/>
  <c r="B320" i="4" l="1"/>
  <c r="A321" i="4"/>
  <c r="B321" i="4" l="1"/>
  <c r="A322" i="4"/>
  <c r="A323" i="4" l="1"/>
  <c r="B322" i="4"/>
  <c r="B323" i="4" l="1"/>
  <c r="A324" i="4"/>
  <c r="B324" i="4" l="1"/>
  <c r="A325" i="4"/>
  <c r="B325" i="4" l="1"/>
  <c r="A326" i="4"/>
  <c r="A327" i="4" l="1"/>
  <c r="B326" i="4"/>
  <c r="B327" i="4" l="1"/>
  <c r="A328" i="4"/>
  <c r="B328" i="4" l="1"/>
  <c r="A329" i="4"/>
  <c r="B329" i="4" l="1"/>
  <c r="A330" i="4"/>
  <c r="A331" i="4" l="1"/>
  <c r="B330" i="4"/>
  <c r="B331" i="4" l="1"/>
  <c r="A332" i="4"/>
  <c r="B332" i="4" l="1"/>
  <c r="A333" i="4"/>
  <c r="B333" i="4" l="1"/>
  <c r="A334" i="4"/>
  <c r="A335" i="4" l="1"/>
  <c r="B334" i="4"/>
  <c r="B335" i="4" l="1"/>
  <c r="A336" i="4"/>
  <c r="B336" i="4" l="1"/>
  <c r="A337" i="4"/>
  <c r="B337" i="4" l="1"/>
  <c r="A338" i="4"/>
  <c r="A339" i="4" l="1"/>
  <c r="B338" i="4"/>
  <c r="B339" i="4" l="1"/>
  <c r="A340" i="4"/>
  <c r="A341" i="4" l="1"/>
  <c r="B340" i="4"/>
  <c r="B341" i="4" l="1"/>
  <c r="A342" i="4"/>
  <c r="A343" i="4" l="1"/>
  <c r="B342" i="4"/>
  <c r="B343" i="4" l="1"/>
  <c r="A344" i="4"/>
  <c r="B344" i="4" l="1"/>
  <c r="A345" i="4"/>
  <c r="B345" i="4" l="1"/>
  <c r="A346" i="4"/>
  <c r="A347" i="4" l="1"/>
  <c r="B346" i="4"/>
  <c r="B347" i="4" l="1"/>
  <c r="A348" i="4"/>
  <c r="B348" i="4" l="1"/>
  <c r="A349" i="4"/>
  <c r="B349" i="4" l="1"/>
  <c r="A350" i="4"/>
  <c r="A351" i="4" l="1"/>
  <c r="B350" i="4"/>
  <c r="B351" i="4" l="1"/>
  <c r="A352" i="4"/>
  <c r="B352" i="4" l="1"/>
  <c r="A353" i="4"/>
  <c r="B353" i="4" l="1"/>
  <c r="A354" i="4"/>
  <c r="A355" i="4" l="1"/>
  <c r="B354" i="4"/>
  <c r="B355" i="4" l="1"/>
  <c r="A356" i="4"/>
  <c r="B356" i="4" l="1"/>
  <c r="A357" i="4"/>
  <c r="B357" i="4" l="1"/>
  <c r="A358" i="4"/>
  <c r="A359" i="4" l="1"/>
  <c r="B358" i="4"/>
  <c r="A360" i="4" l="1"/>
  <c r="B359" i="4"/>
  <c r="B360" i="4" l="1"/>
  <c r="A361" i="4"/>
  <c r="B361" i="4" l="1"/>
  <c r="A362" i="4"/>
  <c r="A363" i="4" l="1"/>
  <c r="B362" i="4"/>
  <c r="A364" i="4" l="1"/>
  <c r="B363" i="4"/>
  <c r="B364" i="4" l="1"/>
  <c r="A365" i="4"/>
  <c r="B365" i="4" l="1"/>
  <c r="A366" i="4"/>
  <c r="A367" i="4" l="1"/>
  <c r="B366" i="4"/>
  <c r="A368" i="4" l="1"/>
  <c r="B367" i="4"/>
  <c r="B368" i="4" l="1"/>
  <c r="A369" i="4"/>
  <c r="B369" i="4" l="1"/>
  <c r="A370" i="4"/>
  <c r="A371" i="4" l="1"/>
  <c r="B370" i="4"/>
  <c r="A372" i="4" l="1"/>
  <c r="B371" i="4"/>
  <c r="B372" i="4" l="1"/>
  <c r="A373" i="4"/>
  <c r="B373" i="4" l="1"/>
  <c r="A374" i="4"/>
  <c r="A375" i="4" l="1"/>
  <c r="B374" i="4"/>
  <c r="A376" i="4" l="1"/>
  <c r="B375" i="4"/>
  <c r="B376" i="4" l="1"/>
  <c r="A377" i="4"/>
  <c r="B377" i="4" l="1"/>
  <c r="A378" i="4"/>
  <c r="A379" i="4" l="1"/>
  <c r="B378" i="4"/>
  <c r="A380" i="4" l="1"/>
  <c r="B379" i="4"/>
  <c r="B380" i="4" l="1"/>
  <c r="A381" i="4"/>
  <c r="B381" i="4" l="1"/>
  <c r="A382" i="4"/>
  <c r="A383" i="4" l="1"/>
  <c r="B382" i="4"/>
  <c r="A384" i="4" l="1"/>
  <c r="B383" i="4"/>
  <c r="B384" i="4" l="1"/>
  <c r="A385" i="4"/>
  <c r="B385" i="4" l="1"/>
  <c r="A386" i="4"/>
  <c r="A387" i="4" l="1"/>
  <c r="B386" i="4"/>
  <c r="A388" i="4" l="1"/>
  <c r="B387" i="4"/>
  <c r="B388" i="4" l="1"/>
  <c r="A389" i="4"/>
  <c r="B389" i="4" l="1"/>
  <c r="A390" i="4"/>
  <c r="A391" i="4" l="1"/>
  <c r="B390" i="4"/>
  <c r="A392" i="4" l="1"/>
  <c r="B391" i="4"/>
  <c r="B392" i="4" l="1"/>
  <c r="A393" i="4"/>
  <c r="B393" i="4" l="1"/>
  <c r="A394" i="4"/>
  <c r="A395" i="4" l="1"/>
  <c r="B394" i="4"/>
  <c r="A396" i="4" l="1"/>
  <c r="B395" i="4"/>
  <c r="B396" i="4" l="1"/>
  <c r="A397" i="4"/>
  <c r="B397" i="4" l="1"/>
  <c r="A398" i="4"/>
  <c r="A399" i="4" l="1"/>
  <c r="B398" i="4"/>
  <c r="A400" i="4" l="1"/>
  <c r="B399" i="4"/>
  <c r="B400" i="4" l="1"/>
  <c r="A401" i="4"/>
  <c r="B401" i="4" l="1"/>
  <c r="A402" i="4"/>
  <c r="A403" i="4" l="1"/>
  <c r="B402" i="4"/>
  <c r="A404" i="4" l="1"/>
  <c r="B403" i="4"/>
  <c r="B404" i="4" l="1"/>
  <c r="A405" i="4"/>
  <c r="B405" i="4" l="1"/>
  <c r="A406" i="4"/>
  <c r="A407" i="4" l="1"/>
  <c r="B406" i="4"/>
  <c r="A408" i="4" l="1"/>
  <c r="B407" i="4"/>
  <c r="B408" i="4" l="1"/>
  <c r="A409" i="4"/>
  <c r="B409" i="4" l="1"/>
  <c r="A410" i="4"/>
  <c r="A411" i="4" l="1"/>
  <c r="B410" i="4"/>
  <c r="A412" i="4" l="1"/>
  <c r="B411" i="4"/>
  <c r="B412" i="4" l="1"/>
  <c r="A413" i="4"/>
  <c r="B413" i="4" l="1"/>
  <c r="A414" i="4"/>
  <c r="A415" i="4" l="1"/>
  <c r="B414" i="4"/>
  <c r="A416" i="4" l="1"/>
  <c r="B415" i="4"/>
  <c r="B416" i="4" l="1"/>
  <c r="A417" i="4"/>
  <c r="B417" i="4" l="1"/>
  <c r="A418" i="4"/>
  <c r="A419" i="4" l="1"/>
  <c r="B418" i="4"/>
  <c r="A420" i="4" l="1"/>
  <c r="B419" i="4"/>
  <c r="B420" i="4" l="1"/>
  <c r="A421" i="4"/>
  <c r="B421" i="4" l="1"/>
  <c r="A422" i="4"/>
  <c r="A423" i="4" l="1"/>
  <c r="B422" i="4"/>
  <c r="A424" i="4" l="1"/>
  <c r="B423" i="4"/>
  <c r="B424" i="4" l="1"/>
  <c r="A425" i="4"/>
  <c r="B425" i="4" l="1"/>
  <c r="A426" i="4"/>
  <c r="A427" i="4" l="1"/>
  <c r="B426" i="4"/>
  <c r="A428" i="4" l="1"/>
  <c r="B427" i="4"/>
  <c r="B428" i="4" l="1"/>
  <c r="A429" i="4"/>
  <c r="B429" i="4" l="1"/>
  <c r="A430" i="4"/>
  <c r="A431" i="4" l="1"/>
  <c r="B430" i="4"/>
  <c r="A432" i="4" l="1"/>
  <c r="B431" i="4"/>
  <c r="B432" i="4" l="1"/>
  <c r="A433" i="4"/>
  <c r="B433" i="4" l="1"/>
  <c r="A434" i="4"/>
  <c r="A435" i="4" l="1"/>
  <c r="B434" i="4"/>
  <c r="A436" i="4" l="1"/>
  <c r="B435" i="4"/>
  <c r="B436" i="4" l="1"/>
  <c r="A437" i="4"/>
  <c r="B437" i="4" l="1"/>
  <c r="A438" i="4"/>
  <c r="A439" i="4" l="1"/>
  <c r="B438" i="4"/>
  <c r="A440" i="4" l="1"/>
  <c r="B439" i="4"/>
  <c r="B440" i="4" l="1"/>
  <c r="A441" i="4"/>
  <c r="B441" i="4" l="1"/>
  <c r="A442" i="4"/>
  <c r="A443" i="4" l="1"/>
  <c r="B442" i="4"/>
  <c r="A444" i="4" l="1"/>
  <c r="B443" i="4"/>
  <c r="B444" i="4" l="1"/>
  <c r="A445" i="4"/>
  <c r="B445" i="4" l="1"/>
  <c r="A446" i="4"/>
  <c r="A447" i="4" l="1"/>
  <c r="B446" i="4"/>
  <c r="A448" i="4" l="1"/>
  <c r="B447" i="4"/>
  <c r="B448" i="4" l="1"/>
  <c r="A449" i="4"/>
  <c r="B449" i="4" l="1"/>
  <c r="A450" i="4"/>
  <c r="A451" i="4" l="1"/>
  <c r="B450" i="4"/>
  <c r="A452" i="4" l="1"/>
  <c r="B451" i="4"/>
  <c r="B452" i="4" l="1"/>
  <c r="A453" i="4"/>
  <c r="B453" i="4" l="1"/>
  <c r="A454" i="4"/>
  <c r="A455" i="4" l="1"/>
  <c r="B454" i="4"/>
  <c r="A456" i="4" l="1"/>
  <c r="B455" i="4"/>
  <c r="B456" i="4" l="1"/>
  <c r="A457" i="4"/>
  <c r="B457" i="4" l="1"/>
  <c r="A458" i="4"/>
  <c r="A459" i="4" l="1"/>
  <c r="B458" i="4"/>
  <c r="A460" i="4" l="1"/>
  <c r="B459" i="4"/>
  <c r="B460" i="4" l="1"/>
  <c r="A461" i="4"/>
  <c r="B461" i="4" l="1"/>
  <c r="A462" i="4"/>
  <c r="A463" i="4" l="1"/>
  <c r="B462" i="4"/>
  <c r="A464" i="4" l="1"/>
  <c r="B463" i="4"/>
  <c r="B464" i="4" l="1"/>
  <c r="A465" i="4"/>
  <c r="B465" i="4" l="1"/>
  <c r="A466" i="4"/>
  <c r="A467" i="4" l="1"/>
  <c r="B466" i="4"/>
  <c r="A468" i="4" l="1"/>
  <c r="B467" i="4"/>
  <c r="B468" i="4" l="1"/>
  <c r="A469" i="4"/>
  <c r="B469" i="4" l="1"/>
  <c r="A470" i="4"/>
  <c r="A471" i="4" l="1"/>
  <c r="B470" i="4"/>
  <c r="A472" i="4" l="1"/>
  <c r="B471" i="4"/>
  <c r="B472" i="4" l="1"/>
  <c r="A473" i="4"/>
  <c r="B473" i="4" l="1"/>
  <c r="A474" i="4"/>
  <c r="A475" i="4" l="1"/>
  <c r="B474" i="4"/>
  <c r="A476" i="4" l="1"/>
  <c r="B475" i="4"/>
  <c r="B476" i="4" l="1"/>
  <c r="A477" i="4"/>
  <c r="B477" i="4" l="1"/>
  <c r="A478" i="4"/>
  <c r="A479" i="4" l="1"/>
  <c r="B478" i="4"/>
  <c r="A480" i="4" l="1"/>
  <c r="B479" i="4"/>
  <c r="B480" i="4" l="1"/>
  <c r="A481" i="4"/>
  <c r="B481" i="4" l="1"/>
  <c r="A482" i="4"/>
  <c r="A483" i="4" l="1"/>
  <c r="B482" i="4"/>
  <c r="A484" i="4" l="1"/>
  <c r="B483" i="4"/>
  <c r="B484" i="4" l="1"/>
  <c r="A485" i="4"/>
  <c r="B485" i="4" l="1"/>
  <c r="A486" i="4"/>
  <c r="A487" i="4" l="1"/>
  <c r="B486" i="4"/>
  <c r="A488" i="4" l="1"/>
  <c r="B487" i="4"/>
  <c r="B488" i="4" l="1"/>
  <c r="A489" i="4"/>
  <c r="B489" i="4" l="1"/>
  <c r="A490" i="4"/>
  <c r="A491" i="4" l="1"/>
  <c r="B490" i="4"/>
  <c r="A492" i="4" l="1"/>
  <c r="B491" i="4"/>
  <c r="B492" i="4" l="1"/>
  <c r="A493" i="4"/>
  <c r="B493" i="4" l="1"/>
  <c r="A494" i="4"/>
  <c r="A495" i="4" l="1"/>
  <c r="B494" i="4"/>
  <c r="A496" i="4" l="1"/>
  <c r="B495" i="4"/>
  <c r="B496" i="4" l="1"/>
  <c r="A497" i="4"/>
  <c r="B497" i="4" l="1"/>
  <c r="A498" i="4"/>
  <c r="A499" i="4" l="1"/>
  <c r="B498" i="4"/>
  <c r="A500" i="4" l="1"/>
  <c r="B499" i="4"/>
  <c r="B500" i="4" l="1"/>
  <c r="A501" i="4"/>
  <c r="B501" i="4" l="1"/>
  <c r="A502" i="4"/>
  <c r="A503" i="4" l="1"/>
  <c r="B502" i="4"/>
  <c r="A504" i="4" l="1"/>
  <c r="B503" i="4"/>
  <c r="B504" i="4" l="1"/>
  <c r="A505" i="4"/>
  <c r="B505" i="4" l="1"/>
  <c r="A506" i="4"/>
  <c r="A507" i="4" l="1"/>
  <c r="B506" i="4"/>
  <c r="A508" i="4" l="1"/>
  <c r="B507" i="4"/>
  <c r="B508" i="4" l="1"/>
  <c r="A509" i="4"/>
  <c r="B509" i="4" l="1"/>
  <c r="A510" i="4"/>
  <c r="A511" i="4" l="1"/>
  <c r="B510" i="4"/>
  <c r="A512" i="4" l="1"/>
  <c r="B511" i="4"/>
  <c r="B512" i="4" l="1"/>
  <c r="A513" i="4"/>
  <c r="B513" i="4" l="1"/>
  <c r="A514" i="4"/>
  <c r="A515" i="4" l="1"/>
  <c r="B514" i="4"/>
  <c r="A516" i="4" l="1"/>
  <c r="B515" i="4"/>
  <c r="B516" i="4" l="1"/>
  <c r="A517" i="4"/>
  <c r="B517" i="4" l="1"/>
  <c r="A518" i="4"/>
  <c r="A519" i="4" l="1"/>
  <c r="B518" i="4"/>
  <c r="A520" i="4" l="1"/>
  <c r="B519" i="4"/>
  <c r="B520" i="4" l="1"/>
  <c r="A521" i="4"/>
  <c r="B521" i="4" l="1"/>
  <c r="A522" i="4"/>
  <c r="A523" i="4" l="1"/>
  <c r="B522" i="4"/>
  <c r="A524" i="4" l="1"/>
  <c r="B523" i="4"/>
  <c r="B524" i="4" l="1"/>
  <c r="A525" i="4"/>
  <c r="B525" i="4" l="1"/>
  <c r="A526" i="4"/>
  <c r="A527" i="4" l="1"/>
  <c r="B526" i="4"/>
  <c r="A528" i="4" l="1"/>
  <c r="B527" i="4"/>
  <c r="B528" i="4" l="1"/>
  <c r="A529" i="4"/>
  <c r="B529" i="4" l="1"/>
  <c r="A530" i="4"/>
  <c r="A531" i="4" l="1"/>
  <c r="B530" i="4"/>
  <c r="A532" i="4" l="1"/>
  <c r="B531" i="4"/>
  <c r="B532" i="4" l="1"/>
  <c r="A533" i="4"/>
  <c r="B533" i="4" l="1"/>
  <c r="A534" i="4"/>
  <c r="A535" i="4" l="1"/>
  <c r="B534" i="4"/>
  <c r="A536" i="4" l="1"/>
  <c r="B535" i="4"/>
  <c r="B536" i="4" l="1"/>
  <c r="A537" i="4"/>
  <c r="B537" i="4" l="1"/>
  <c r="A538" i="4"/>
  <c r="A539" i="4" l="1"/>
  <c r="B538" i="4"/>
  <c r="A540" i="4" l="1"/>
  <c r="B539" i="4"/>
  <c r="B540" i="4" l="1"/>
  <c r="A541" i="4"/>
  <c r="B541" i="4" l="1"/>
  <c r="A542" i="4"/>
  <c r="A543" i="4" l="1"/>
  <c r="B542" i="4"/>
  <c r="A544" i="4" l="1"/>
  <c r="B543" i="4"/>
  <c r="B544" i="4" l="1"/>
  <c r="A545" i="4"/>
  <c r="B545" i="4" l="1"/>
  <c r="A546" i="4"/>
  <c r="A547" i="4" l="1"/>
  <c r="B546" i="4"/>
  <c r="A548" i="4" l="1"/>
  <c r="B547" i="4"/>
  <c r="B548" i="4" l="1"/>
  <c r="A549" i="4"/>
  <c r="B549" i="4" l="1"/>
  <c r="A550" i="4"/>
  <c r="A551" i="4" l="1"/>
  <c r="B550" i="4"/>
  <c r="A552" i="4" l="1"/>
  <c r="B551" i="4"/>
  <c r="B552" i="4" l="1"/>
  <c r="A553" i="4"/>
  <c r="B553" i="4" l="1"/>
  <c r="A554" i="4"/>
  <c r="A555" i="4" l="1"/>
  <c r="B554" i="4"/>
  <c r="A556" i="4" l="1"/>
  <c r="B555" i="4"/>
  <c r="B556" i="4" l="1"/>
  <c r="A557" i="4"/>
  <c r="B557" i="4" l="1"/>
  <c r="A558" i="4"/>
  <c r="A559" i="4" l="1"/>
  <c r="B558" i="4"/>
  <c r="A560" i="4" l="1"/>
  <c r="B559" i="4"/>
  <c r="B560" i="4" l="1"/>
  <c r="A561" i="4"/>
  <c r="B561" i="4" l="1"/>
  <c r="A562" i="4"/>
  <c r="A563" i="4" l="1"/>
  <c r="B562" i="4"/>
  <c r="A564" i="4" l="1"/>
  <c r="B563" i="4"/>
  <c r="B564" i="4" l="1"/>
  <c r="A565" i="4"/>
  <c r="B565" i="4" l="1"/>
  <c r="A566" i="4"/>
  <c r="A567" i="4" l="1"/>
  <c r="B566" i="4"/>
  <c r="A568" i="4" l="1"/>
  <c r="B567" i="4"/>
  <c r="B568" i="4" l="1"/>
  <c r="A569" i="4"/>
  <c r="B569" i="4" l="1"/>
  <c r="A570" i="4"/>
  <c r="A571" i="4" l="1"/>
  <c r="B570" i="4"/>
  <c r="A572" i="4" l="1"/>
  <c r="B571" i="4"/>
  <c r="B572" i="4" l="1"/>
  <c r="A573" i="4"/>
  <c r="B573" i="4" l="1"/>
  <c r="A574" i="4"/>
  <c r="A575" i="4" l="1"/>
  <c r="B574" i="4"/>
  <c r="A576" i="4" l="1"/>
  <c r="B575" i="4"/>
  <c r="B576" i="4" l="1"/>
  <c r="A577" i="4"/>
  <c r="B577" i="4" l="1"/>
  <c r="A578" i="4"/>
  <c r="A579" i="4" l="1"/>
  <c r="B578" i="4"/>
  <c r="A580" i="4" l="1"/>
  <c r="B579" i="4"/>
  <c r="B580" i="4" l="1"/>
  <c r="A581" i="4"/>
  <c r="B581" i="4" l="1"/>
  <c r="A582" i="4"/>
  <c r="A583" i="4" l="1"/>
  <c r="B582" i="4"/>
  <c r="A584" i="4" l="1"/>
  <c r="B583" i="4"/>
  <c r="B584" i="4" l="1"/>
  <c r="A585" i="4"/>
  <c r="B585" i="4" l="1"/>
  <c r="A586" i="4"/>
  <c r="A587" i="4" l="1"/>
  <c r="B586" i="4"/>
  <c r="A588" i="4" l="1"/>
  <c r="B587" i="4"/>
  <c r="B588" i="4" l="1"/>
  <c r="A589" i="4"/>
  <c r="B589" i="4" l="1"/>
  <c r="A590" i="4"/>
  <c r="A591" i="4" l="1"/>
  <c r="B590" i="4"/>
  <c r="A592" i="4" l="1"/>
  <c r="B591" i="4"/>
  <c r="B592" i="4" l="1"/>
  <c r="A593" i="4"/>
  <c r="B593" i="4" l="1"/>
  <c r="A594" i="4"/>
  <c r="A595" i="4" l="1"/>
  <c r="B594" i="4"/>
  <c r="A596" i="4" l="1"/>
  <c r="B595" i="4"/>
  <c r="B596" i="4" l="1"/>
  <c r="A597" i="4"/>
  <c r="B597" i="4" l="1"/>
  <c r="A598" i="4"/>
  <c r="A599" i="4" l="1"/>
  <c r="B598" i="4"/>
  <c r="A600" i="4" l="1"/>
  <c r="B599" i="4"/>
  <c r="B600" i="4" l="1"/>
  <c r="A601" i="4"/>
  <c r="B601" i="4" l="1"/>
  <c r="A602" i="4"/>
  <c r="A603" i="4" l="1"/>
  <c r="B602" i="4"/>
  <c r="A604" i="4" l="1"/>
  <c r="B603" i="4"/>
  <c r="B604" i="4" l="1"/>
  <c r="A605" i="4"/>
  <c r="B605" i="4" l="1"/>
  <c r="A606" i="4"/>
  <c r="A607" i="4" l="1"/>
  <c r="B606" i="4"/>
  <c r="B607" i="4" l="1"/>
  <c r="A608" i="4"/>
  <c r="B608" i="4" l="1"/>
  <c r="A609" i="4"/>
  <c r="B609" i="4" l="1"/>
  <c r="A610" i="4"/>
  <c r="A611" i="4" l="1"/>
  <c r="B610" i="4"/>
  <c r="A612" i="4" l="1"/>
  <c r="B611" i="4"/>
  <c r="B612" i="4" l="1"/>
  <c r="A613" i="4"/>
  <c r="A614" i="4" l="1"/>
  <c r="B613" i="4"/>
  <c r="B614" i="4" l="1"/>
  <c r="A615" i="4"/>
  <c r="A616" i="4" l="1"/>
  <c r="B615" i="4"/>
  <c r="B616" i="4" l="1"/>
  <c r="A617" i="4"/>
  <c r="B617" i="4" l="1"/>
  <c r="A618" i="4"/>
  <c r="A619" i="4" l="1"/>
  <c r="B618" i="4"/>
  <c r="A620" i="4" l="1"/>
  <c r="B619" i="4"/>
  <c r="B620" i="4" l="1"/>
  <c r="A621" i="4"/>
  <c r="A622" i="4" l="1"/>
  <c r="B621" i="4"/>
  <c r="B622" i="4" l="1"/>
  <c r="A623" i="4"/>
  <c r="A624" i="4" l="1"/>
  <c r="B623" i="4"/>
  <c r="B624" i="4" l="1"/>
  <c r="A625" i="4"/>
  <c r="B625" i="4" l="1"/>
  <c r="A626" i="4"/>
  <c r="B626" i="4" l="1"/>
  <c r="A627" i="4"/>
  <c r="A628" i="4" l="1"/>
  <c r="B627" i="4"/>
  <c r="B628" i="4" l="1"/>
  <c r="A629" i="4"/>
  <c r="A630" i="4" l="1"/>
  <c r="B629" i="4"/>
  <c r="B630" i="4" l="1"/>
  <c r="A631" i="4"/>
  <c r="A632" i="4" l="1"/>
  <c r="B631" i="4"/>
  <c r="B632" i="4" l="1"/>
  <c r="A633" i="4"/>
  <c r="A634" i="4" l="1"/>
  <c r="B633" i="4"/>
  <c r="B634" i="4" l="1"/>
  <c r="A635" i="4"/>
  <c r="A636" i="4" l="1"/>
  <c r="B635" i="4"/>
  <c r="B636" i="4" l="1"/>
  <c r="A637" i="4"/>
  <c r="B637" i="4" l="1"/>
  <c r="A638" i="4"/>
  <c r="A639" i="4" l="1"/>
  <c r="B638" i="4"/>
  <c r="A640" i="4" l="1"/>
  <c r="B639" i="4"/>
  <c r="B640" i="4" l="1"/>
  <c r="A641" i="4"/>
  <c r="B641" i="4" l="1"/>
  <c r="A642" i="4"/>
  <c r="A643" i="4" l="1"/>
  <c r="B642" i="4"/>
  <c r="A644" i="4" l="1"/>
  <c r="B643" i="4"/>
  <c r="B644" i="4" l="1"/>
  <c r="A645" i="4"/>
  <c r="A646" i="4" l="1"/>
  <c r="B645" i="4"/>
  <c r="B646" i="4" l="1"/>
  <c r="A647" i="4"/>
  <c r="A648" i="4" l="1"/>
  <c r="B647" i="4"/>
  <c r="B648" i="4" l="1"/>
  <c r="A649" i="4"/>
  <c r="A650" i="4" l="1"/>
  <c r="B649" i="4"/>
  <c r="B650" i="4" l="1"/>
  <c r="A651" i="4"/>
  <c r="A652" i="4" l="1"/>
  <c r="B651" i="4"/>
  <c r="B652" i="4" l="1"/>
  <c r="A653" i="4"/>
  <c r="A654" i="4" l="1"/>
  <c r="B653" i="4"/>
  <c r="B654" i="4" l="1"/>
  <c r="A655" i="4"/>
  <c r="A656" i="4" l="1"/>
  <c r="B655" i="4"/>
  <c r="B656" i="4" l="1"/>
  <c r="A657" i="4"/>
  <c r="B657" i="4" l="1"/>
  <c r="A658" i="4"/>
  <c r="A659" i="4" l="1"/>
  <c r="B658" i="4"/>
  <c r="A660" i="4" l="1"/>
  <c r="B659" i="4"/>
  <c r="B660" i="4" l="1"/>
  <c r="A661" i="4"/>
  <c r="A662" i="4" l="1"/>
  <c r="B661" i="4"/>
  <c r="A663" i="4" l="1"/>
  <c r="B662" i="4"/>
  <c r="A664" i="4" l="1"/>
  <c r="B663" i="4"/>
  <c r="B664" i="4" l="1"/>
  <c r="A665" i="4"/>
  <c r="B665" i="4" l="1"/>
  <c r="A666" i="4"/>
  <c r="B666" i="4" l="1"/>
  <c r="A667" i="4"/>
  <c r="A668" i="4" l="1"/>
  <c r="B667" i="4"/>
  <c r="B668" i="4" l="1"/>
  <c r="A669" i="4"/>
  <c r="A670" i="4" l="1"/>
  <c r="B669" i="4"/>
  <c r="B670" i="4" l="1"/>
  <c r="A671" i="4"/>
  <c r="A672" i="4" l="1"/>
  <c r="B671" i="4"/>
  <c r="B672" i="4" l="1"/>
  <c r="A673" i="4"/>
  <c r="B673" i="4" l="1"/>
  <c r="A674" i="4"/>
  <c r="B674" i="4" l="1"/>
  <c r="A675" i="4"/>
  <c r="A676" i="4" l="1"/>
  <c r="B675" i="4"/>
  <c r="B676" i="4" l="1"/>
  <c r="A677" i="4"/>
  <c r="A678" i="4" l="1"/>
  <c r="B677" i="4"/>
  <c r="A679" i="4" l="1"/>
  <c r="B678" i="4"/>
  <c r="A680" i="4" l="1"/>
  <c r="B679" i="4"/>
  <c r="B680" i="4" l="1"/>
  <c r="A681" i="4"/>
  <c r="A682" i="4" l="1"/>
  <c r="B681" i="4"/>
  <c r="A683" i="4" l="1"/>
  <c r="B682" i="4"/>
  <c r="A684" i="4" l="1"/>
  <c r="B683" i="4"/>
  <c r="B684" i="4" l="1"/>
  <c r="A685" i="4"/>
  <c r="B685" i="4" l="1"/>
  <c r="A686" i="4"/>
  <c r="B686" i="4" l="1"/>
  <c r="A687" i="4"/>
  <c r="A688" i="4" l="1"/>
  <c r="B687" i="4"/>
  <c r="B688" i="4" l="1"/>
  <c r="A689" i="4"/>
  <c r="A690" i="4" l="1"/>
  <c r="B689" i="4"/>
  <c r="B690" i="4" l="1"/>
  <c r="A691" i="4"/>
  <c r="A692" i="4" l="1"/>
  <c r="B691" i="4"/>
  <c r="B692" i="4" l="1"/>
  <c r="A693" i="4"/>
  <c r="B693" i="4" l="1"/>
  <c r="A694" i="4"/>
  <c r="A695" i="4" l="1"/>
  <c r="B694" i="4"/>
  <c r="A696" i="4" l="1"/>
  <c r="B695" i="4"/>
  <c r="B696" i="4" l="1"/>
  <c r="A697" i="4"/>
  <c r="A698" i="4" l="1"/>
  <c r="B697" i="4"/>
  <c r="A699" i="4" l="1"/>
  <c r="B698" i="4"/>
  <c r="A700" i="4" l="1"/>
  <c r="B699" i="4"/>
  <c r="B700" i="4" l="1"/>
  <c r="A701" i="4"/>
  <c r="A702" i="4" l="1"/>
  <c r="B701" i="4"/>
  <c r="A703" i="4" l="1"/>
  <c r="B702" i="4"/>
  <c r="A704" i="4" l="1"/>
  <c r="B703" i="4"/>
  <c r="B704" i="4" l="1"/>
  <c r="A705" i="4"/>
  <c r="B705" i="4" l="1"/>
  <c r="A706" i="4"/>
  <c r="B706" i="4" l="1"/>
  <c r="A707" i="4"/>
  <c r="A708" i="4" l="1"/>
  <c r="B707" i="4"/>
  <c r="B708" i="4" l="1"/>
  <c r="A709" i="4"/>
  <c r="A710" i="4" l="1"/>
  <c r="B709" i="4"/>
  <c r="B710" i="4" l="1"/>
  <c r="A711" i="4"/>
  <c r="A712" i="4" l="1"/>
  <c r="B711" i="4"/>
  <c r="B712" i="4" l="1"/>
  <c r="A713" i="4"/>
  <c r="B713" i="4" l="1"/>
  <c r="A714" i="4"/>
  <c r="B714" i="4" l="1"/>
  <c r="A715" i="4"/>
  <c r="A716" i="4" l="1"/>
  <c r="B715" i="4"/>
  <c r="B716" i="4" l="1"/>
  <c r="A717" i="4"/>
  <c r="A718" i="4" l="1"/>
  <c r="B717" i="4"/>
  <c r="A719" i="4" l="1"/>
  <c r="B718" i="4"/>
  <c r="A720" i="4" l="1"/>
  <c r="B719" i="4"/>
  <c r="B720" i="4" l="1"/>
  <c r="A721" i="4"/>
  <c r="B721" i="4" l="1"/>
  <c r="A722" i="4"/>
  <c r="B722" i="4" s="1"/>
</calcChain>
</file>

<file path=xl/sharedStrings.xml><?xml version="1.0" encoding="utf-8"?>
<sst xmlns="http://schemas.openxmlformats.org/spreadsheetml/2006/main" count="690" uniqueCount="442">
  <si>
    <t>Name</t>
  </si>
  <si>
    <t>Email</t>
  </si>
  <si>
    <t>Phone Number</t>
  </si>
  <si>
    <t>Attendance Type</t>
  </si>
  <si>
    <t>Session Preference</t>
  </si>
  <si>
    <t>Ticket Price (€)</t>
  </si>
  <si>
    <t>Registration Date</t>
  </si>
  <si>
    <t>A001</t>
  </si>
  <si>
    <t>Participant 1</t>
  </si>
  <si>
    <t>Participant1@example.com</t>
  </si>
  <si>
    <t>555-0001</t>
  </si>
  <si>
    <t>Online</t>
  </si>
  <si>
    <t>Data Analytics</t>
  </si>
  <si>
    <t>A002</t>
  </si>
  <si>
    <t>Participant 2</t>
  </si>
  <si>
    <t>Participant2@example.com</t>
  </si>
  <si>
    <t>555-0002</t>
  </si>
  <si>
    <t>In-Person</t>
  </si>
  <si>
    <t>A003</t>
  </si>
  <si>
    <t>Participant 3</t>
  </si>
  <si>
    <t>Participant3@example.com</t>
  </si>
  <si>
    <t>555-0003</t>
  </si>
  <si>
    <t>Artificial Intelligence</t>
  </si>
  <si>
    <t>A004</t>
  </si>
  <si>
    <t>Participant 4</t>
  </si>
  <si>
    <t>Participant4@example.com</t>
  </si>
  <si>
    <t>555-0004</t>
  </si>
  <si>
    <t>Cybersecurity</t>
  </si>
  <si>
    <t>A005</t>
  </si>
  <si>
    <t>Participant 5</t>
  </si>
  <si>
    <t>Participant5@example.com</t>
  </si>
  <si>
    <t>555-0005</t>
  </si>
  <si>
    <t>A006</t>
  </si>
  <si>
    <t>Participant 6</t>
  </si>
  <si>
    <t>Participant6@example.com</t>
  </si>
  <si>
    <t>555-0006</t>
  </si>
  <si>
    <t>A007</t>
  </si>
  <si>
    <t>Participant 7</t>
  </si>
  <si>
    <t>Participant7@example.com</t>
  </si>
  <si>
    <t>555-0007</t>
  </si>
  <si>
    <t>A008</t>
  </si>
  <si>
    <t>Participant 8</t>
  </si>
  <si>
    <t>Participant8@example.com</t>
  </si>
  <si>
    <t>555-0008</t>
  </si>
  <si>
    <t>A009</t>
  </si>
  <si>
    <t>Participant 9</t>
  </si>
  <si>
    <t>Participant9@example.com</t>
  </si>
  <si>
    <t>555-0009</t>
  </si>
  <si>
    <t>A010</t>
  </si>
  <si>
    <t>Participant 10</t>
  </si>
  <si>
    <t>Participant10@example.com</t>
  </si>
  <si>
    <t>555-0010</t>
  </si>
  <si>
    <t>A011</t>
  </si>
  <si>
    <t>Participant 11</t>
  </si>
  <si>
    <t>Participant11@example.com</t>
  </si>
  <si>
    <t>555-0011</t>
  </si>
  <si>
    <t>A012</t>
  </si>
  <si>
    <t>Participant 12</t>
  </si>
  <si>
    <t>Participant12@example.com</t>
  </si>
  <si>
    <t>555-0012</t>
  </si>
  <si>
    <t>A013</t>
  </si>
  <si>
    <t>Participant 13</t>
  </si>
  <si>
    <t>Participant13@example.com</t>
  </si>
  <si>
    <t>555-0013</t>
  </si>
  <si>
    <t>A014</t>
  </si>
  <si>
    <t>Participant 14</t>
  </si>
  <si>
    <t>Participant14@example.com</t>
  </si>
  <si>
    <t>555-0014</t>
  </si>
  <si>
    <t>A015</t>
  </si>
  <si>
    <t>Participant 15</t>
  </si>
  <si>
    <t>Participant15@example.com</t>
  </si>
  <si>
    <t>555-0015</t>
  </si>
  <si>
    <t>A016</t>
  </si>
  <si>
    <t>Participant 16</t>
  </si>
  <si>
    <t>Participant16@example.com</t>
  </si>
  <si>
    <t>555-0016</t>
  </si>
  <si>
    <t>A017</t>
  </si>
  <si>
    <t>Participant 17</t>
  </si>
  <si>
    <t>Participant17@example.com</t>
  </si>
  <si>
    <t>555-0017</t>
  </si>
  <si>
    <t>A018</t>
  </si>
  <si>
    <t>Participant 18</t>
  </si>
  <si>
    <t>Participant18@example.com</t>
  </si>
  <si>
    <t>555-0018</t>
  </si>
  <si>
    <t>A019</t>
  </si>
  <si>
    <t>Participant 19</t>
  </si>
  <si>
    <t>Participant19@example.com</t>
  </si>
  <si>
    <t>555-0019</t>
  </si>
  <si>
    <t>A020</t>
  </si>
  <si>
    <t>Participant 20</t>
  </si>
  <si>
    <t>Participant20@example.com</t>
  </si>
  <si>
    <t>555-0020</t>
  </si>
  <si>
    <t>A021</t>
  </si>
  <si>
    <t>Participant 21</t>
  </si>
  <si>
    <t>Participant21@example.com</t>
  </si>
  <si>
    <t>555-0021</t>
  </si>
  <si>
    <t>A022</t>
  </si>
  <si>
    <t>Participant 22</t>
  </si>
  <si>
    <t>Participant22@example.com</t>
  </si>
  <si>
    <t>555-0022</t>
  </si>
  <si>
    <t>A023</t>
  </si>
  <si>
    <t>Participant 23</t>
  </si>
  <si>
    <t>Participant23@example.com</t>
  </si>
  <si>
    <t>555-0023</t>
  </si>
  <si>
    <t>A024</t>
  </si>
  <si>
    <t>Participant 24</t>
  </si>
  <si>
    <t>Participant24@example.com</t>
  </si>
  <si>
    <t>555-0024</t>
  </si>
  <si>
    <t>A025</t>
  </si>
  <si>
    <t>Participant 25</t>
  </si>
  <si>
    <t>Participant25@example.com</t>
  </si>
  <si>
    <t>555-0025</t>
  </si>
  <si>
    <t>A026</t>
  </si>
  <si>
    <t>Participant 26</t>
  </si>
  <si>
    <t>Participant26@example.com</t>
  </si>
  <si>
    <t>555-0026</t>
  </si>
  <si>
    <t>A027</t>
  </si>
  <si>
    <t>Participant 27</t>
  </si>
  <si>
    <t>Participant27@example.com</t>
  </si>
  <si>
    <t>555-0027</t>
  </si>
  <si>
    <t>A028</t>
  </si>
  <si>
    <t>Participant 28</t>
  </si>
  <si>
    <t>Participant28@example.com</t>
  </si>
  <si>
    <t>555-0028</t>
  </si>
  <si>
    <t>A029</t>
  </si>
  <si>
    <t>Participant 29</t>
  </si>
  <si>
    <t>Participant29@example.com</t>
  </si>
  <si>
    <t>555-0029</t>
  </si>
  <si>
    <t>A030</t>
  </si>
  <si>
    <t>Participant 30</t>
  </si>
  <si>
    <t>Participant30@example.com</t>
  </si>
  <si>
    <t>555-0030</t>
  </si>
  <si>
    <t>A031</t>
  </si>
  <si>
    <t>Participant 31</t>
  </si>
  <si>
    <t>Participant31@example.com</t>
  </si>
  <si>
    <t>555-0031</t>
  </si>
  <si>
    <t>A032</t>
  </si>
  <si>
    <t>Participant 32</t>
  </si>
  <si>
    <t>Participant32@example.com</t>
  </si>
  <si>
    <t>555-0032</t>
  </si>
  <si>
    <t>A033</t>
  </si>
  <si>
    <t>Participant 33</t>
  </si>
  <si>
    <t>Participant33@example.com</t>
  </si>
  <si>
    <t>555-0033</t>
  </si>
  <si>
    <t>A034</t>
  </si>
  <si>
    <t>Participant 34</t>
  </si>
  <si>
    <t>Participant34@example.com</t>
  </si>
  <si>
    <t>555-0034</t>
  </si>
  <si>
    <t>A035</t>
  </si>
  <si>
    <t>Participant 35</t>
  </si>
  <si>
    <t>Participant35@example.com</t>
  </si>
  <si>
    <t>555-0035</t>
  </si>
  <si>
    <t>A036</t>
  </si>
  <si>
    <t>Participant 36</t>
  </si>
  <si>
    <t>Participant36@example.com</t>
  </si>
  <si>
    <t>555-0036</t>
  </si>
  <si>
    <t>A037</t>
  </si>
  <si>
    <t>Participant 37</t>
  </si>
  <si>
    <t>Participant37@example.com</t>
  </si>
  <si>
    <t>555-0037</t>
  </si>
  <si>
    <t>A038</t>
  </si>
  <si>
    <t>Participant 38</t>
  </si>
  <si>
    <t>Participant38@example.com</t>
  </si>
  <si>
    <t>555-0038</t>
  </si>
  <si>
    <t>A039</t>
  </si>
  <si>
    <t>Participant 39</t>
  </si>
  <si>
    <t>Participant39@example.com</t>
  </si>
  <si>
    <t>555-0039</t>
  </si>
  <si>
    <t>A040</t>
  </si>
  <si>
    <t>Participant 40</t>
  </si>
  <si>
    <t>Participant40@example.com</t>
  </si>
  <si>
    <t>555-0040</t>
  </si>
  <si>
    <t>A041</t>
  </si>
  <si>
    <t>Participant 41</t>
  </si>
  <si>
    <t>Participant41@example.com</t>
  </si>
  <si>
    <t>555-0041</t>
  </si>
  <si>
    <t>A042</t>
  </si>
  <si>
    <t>Participant 42</t>
  </si>
  <si>
    <t>Participant42@example.com</t>
  </si>
  <si>
    <t>555-0042</t>
  </si>
  <si>
    <t>A043</t>
  </si>
  <si>
    <t>Participant 43</t>
  </si>
  <si>
    <t>Participant43@example.com</t>
  </si>
  <si>
    <t>555-0043</t>
  </si>
  <si>
    <t>A044</t>
  </si>
  <si>
    <t>Participant 44</t>
  </si>
  <si>
    <t>Participant44@example.com</t>
  </si>
  <si>
    <t>555-0044</t>
  </si>
  <si>
    <t>A045</t>
  </si>
  <si>
    <t>Participant 45</t>
  </si>
  <si>
    <t>Participant45@example.com</t>
  </si>
  <si>
    <t>555-0045</t>
  </si>
  <si>
    <t>A046</t>
  </si>
  <si>
    <t>Participant 46</t>
  </si>
  <si>
    <t>Participant46@example.com</t>
  </si>
  <si>
    <t>555-0046</t>
  </si>
  <si>
    <t>A047</t>
  </si>
  <si>
    <t>Participant 47</t>
  </si>
  <si>
    <t>Participant47@example.com</t>
  </si>
  <si>
    <t>555-0047</t>
  </si>
  <si>
    <t>A048</t>
  </si>
  <si>
    <t>Participant 48</t>
  </si>
  <si>
    <t>Participant48@example.com</t>
  </si>
  <si>
    <t>555-0048</t>
  </si>
  <si>
    <t>A049</t>
  </si>
  <si>
    <t>Participant 49</t>
  </si>
  <si>
    <t>Participant49@example.com</t>
  </si>
  <si>
    <t>555-0049</t>
  </si>
  <si>
    <t>A050</t>
  </si>
  <si>
    <t>Participant 50</t>
  </si>
  <si>
    <t>Participant50@example.com</t>
  </si>
  <si>
    <t>555-0050</t>
  </si>
  <si>
    <t>A051</t>
  </si>
  <si>
    <t>Participant 51</t>
  </si>
  <si>
    <t>Participant51@example.com</t>
  </si>
  <si>
    <t>555-0051</t>
  </si>
  <si>
    <t>A052</t>
  </si>
  <si>
    <t>Participant 52</t>
  </si>
  <si>
    <t>Participant52@example.com</t>
  </si>
  <si>
    <t>555-0052</t>
  </si>
  <si>
    <t>A053</t>
  </si>
  <si>
    <t>Participant 53</t>
  </si>
  <si>
    <t>Participant53@example.com</t>
  </si>
  <si>
    <t>555-0053</t>
  </si>
  <si>
    <t>A054</t>
  </si>
  <si>
    <t>Participant 54</t>
  </si>
  <si>
    <t>Participant54@example.com</t>
  </si>
  <si>
    <t>555-0054</t>
  </si>
  <si>
    <t>A055</t>
  </si>
  <si>
    <t>Participant 55</t>
  </si>
  <si>
    <t>Participant55@example.com</t>
  </si>
  <si>
    <t>555-0055</t>
  </si>
  <si>
    <t>A056</t>
  </si>
  <si>
    <t>Participant 56</t>
  </si>
  <si>
    <t>Participant56@example.com</t>
  </si>
  <si>
    <t>555-0056</t>
  </si>
  <si>
    <t>A057</t>
  </si>
  <si>
    <t>Participant 57</t>
  </si>
  <si>
    <t>Participant57@example.com</t>
  </si>
  <si>
    <t>555-0057</t>
  </si>
  <si>
    <t>A058</t>
  </si>
  <si>
    <t>Participant 58</t>
  </si>
  <si>
    <t>Participant58@example.com</t>
  </si>
  <si>
    <t>555-0058</t>
  </si>
  <si>
    <t>A059</t>
  </si>
  <si>
    <t>Participant 59</t>
  </si>
  <si>
    <t>Participant59@example.com</t>
  </si>
  <si>
    <t>555-0059</t>
  </si>
  <si>
    <t>A060</t>
  </si>
  <si>
    <t>Participant 60</t>
  </si>
  <si>
    <t>Participant60@example.com</t>
  </si>
  <si>
    <t>555-0060</t>
  </si>
  <si>
    <t>A061</t>
  </si>
  <si>
    <t>Participant 61</t>
  </si>
  <si>
    <t>Participant61@example.com</t>
  </si>
  <si>
    <t>555-0061</t>
  </si>
  <si>
    <t>A062</t>
  </si>
  <si>
    <t>Participant 62</t>
  </si>
  <si>
    <t>Participant62@example.com</t>
  </si>
  <si>
    <t>555-0062</t>
  </si>
  <si>
    <t>A063</t>
  </si>
  <si>
    <t>Participant 63</t>
  </si>
  <si>
    <t>Participant63@example.com</t>
  </si>
  <si>
    <t>555-0063</t>
  </si>
  <si>
    <t>A064</t>
  </si>
  <si>
    <t>Participant 64</t>
  </si>
  <si>
    <t>Participant64@example.com</t>
  </si>
  <si>
    <t>555-0064</t>
  </si>
  <si>
    <t>A065</t>
  </si>
  <si>
    <t>Participant 65</t>
  </si>
  <si>
    <t>Participant65@example.com</t>
  </si>
  <si>
    <t>555-0065</t>
  </si>
  <si>
    <t>A066</t>
  </si>
  <si>
    <t>Participant 66</t>
  </si>
  <si>
    <t>Participant66@example.com</t>
  </si>
  <si>
    <t>555-0066</t>
  </si>
  <si>
    <t>A067</t>
  </si>
  <si>
    <t>Participant 67</t>
  </si>
  <si>
    <t>Participant67@example.com</t>
  </si>
  <si>
    <t>555-0067</t>
  </si>
  <si>
    <t>A068</t>
  </si>
  <si>
    <t>Participant 68</t>
  </si>
  <si>
    <t>Participant68@example.com</t>
  </si>
  <si>
    <t>555-0068</t>
  </si>
  <si>
    <t>A069</t>
  </si>
  <si>
    <t>Participant 69</t>
  </si>
  <si>
    <t>Participant69@example.com</t>
  </si>
  <si>
    <t>555-0069</t>
  </si>
  <si>
    <t>A070</t>
  </si>
  <si>
    <t>Participant 70</t>
  </si>
  <si>
    <t>Participant70@example.com</t>
  </si>
  <si>
    <t>555-0070</t>
  </si>
  <si>
    <t>A071</t>
  </si>
  <si>
    <t>Participant 71</t>
  </si>
  <si>
    <t>Participant71@example.com</t>
  </si>
  <si>
    <t>555-0071</t>
  </si>
  <si>
    <t>A072</t>
  </si>
  <si>
    <t>Participant 72</t>
  </si>
  <si>
    <t>Participant72@example.com</t>
  </si>
  <si>
    <t>555-0072</t>
  </si>
  <si>
    <t>A073</t>
  </si>
  <si>
    <t>Participant 73</t>
  </si>
  <si>
    <t>Participant73@example.com</t>
  </si>
  <si>
    <t>555-0073</t>
  </si>
  <si>
    <t>A074</t>
  </si>
  <si>
    <t>Participant 74</t>
  </si>
  <si>
    <t>Participant74@example.com</t>
  </si>
  <si>
    <t>555-0074</t>
  </si>
  <si>
    <t>A075</t>
  </si>
  <si>
    <t>Participant 75</t>
  </si>
  <si>
    <t>Participant75@example.com</t>
  </si>
  <si>
    <t>555-0075</t>
  </si>
  <si>
    <t>A076</t>
  </si>
  <si>
    <t>Participant 76</t>
  </si>
  <si>
    <t>Participant76@example.com</t>
  </si>
  <si>
    <t>555-0076</t>
  </si>
  <si>
    <t>A077</t>
  </si>
  <si>
    <t>Participant 77</t>
  </si>
  <si>
    <t>Participant77@example.com</t>
  </si>
  <si>
    <t>555-0077</t>
  </si>
  <si>
    <t>A078</t>
  </si>
  <si>
    <t>Participant 78</t>
  </si>
  <si>
    <t>Participant78@example.com</t>
  </si>
  <si>
    <t>555-0078</t>
  </si>
  <si>
    <t>A079</t>
  </si>
  <si>
    <t>Participant 79</t>
  </si>
  <si>
    <t>Participant79@example.com</t>
  </si>
  <si>
    <t>555-0079</t>
  </si>
  <si>
    <t>A080</t>
  </si>
  <si>
    <t>Participant 80</t>
  </si>
  <si>
    <t>Participant80@example.com</t>
  </si>
  <si>
    <t>555-0080</t>
  </si>
  <si>
    <t>A081</t>
  </si>
  <si>
    <t>Participant 81</t>
  </si>
  <si>
    <t>Participant81@example.com</t>
  </si>
  <si>
    <t>555-0081</t>
  </si>
  <si>
    <t>A082</t>
  </si>
  <si>
    <t>Participant 82</t>
  </si>
  <si>
    <t>Participant82@example.com</t>
  </si>
  <si>
    <t>555-0082</t>
  </si>
  <si>
    <t>A083</t>
  </si>
  <si>
    <t>Participant 83</t>
  </si>
  <si>
    <t>Participant83@example.com</t>
  </si>
  <si>
    <t>555-0083</t>
  </si>
  <si>
    <t>A084</t>
  </si>
  <si>
    <t>Participant 84</t>
  </si>
  <si>
    <t>Participant84@example.com</t>
  </si>
  <si>
    <t>555-0084</t>
  </si>
  <si>
    <t>A085</t>
  </si>
  <si>
    <t>Participant 85</t>
  </si>
  <si>
    <t>Participant85@example.com</t>
  </si>
  <si>
    <t>555-0085</t>
  </si>
  <si>
    <t>A086</t>
  </si>
  <si>
    <t>Participant 86</t>
  </si>
  <si>
    <t>Participant86@example.com</t>
  </si>
  <si>
    <t>555-0086</t>
  </si>
  <si>
    <t>A087</t>
  </si>
  <si>
    <t>Participant 87</t>
  </si>
  <si>
    <t>Participant87@example.com</t>
  </si>
  <si>
    <t>555-0087</t>
  </si>
  <si>
    <t>A088</t>
  </si>
  <si>
    <t>Participant 88</t>
  </si>
  <si>
    <t>Participant88@example.com</t>
  </si>
  <si>
    <t>555-0088</t>
  </si>
  <si>
    <t>A089</t>
  </si>
  <si>
    <t>Participant 89</t>
  </si>
  <si>
    <t>Participant89@example.com</t>
  </si>
  <si>
    <t>555-0089</t>
  </si>
  <si>
    <t>A090</t>
  </si>
  <si>
    <t>Participant 90</t>
  </si>
  <si>
    <t>Participant90@example.com</t>
  </si>
  <si>
    <t>555-0090</t>
  </si>
  <si>
    <t>A091</t>
  </si>
  <si>
    <t>Participant 91</t>
  </si>
  <si>
    <t>Participant91@example.com</t>
  </si>
  <si>
    <t>555-0091</t>
  </si>
  <si>
    <t>A092</t>
  </si>
  <si>
    <t>Participant 92</t>
  </si>
  <si>
    <t>Participant92@example.com</t>
  </si>
  <si>
    <t>555-0092</t>
  </si>
  <si>
    <t>A093</t>
  </si>
  <si>
    <t>Participant 93</t>
  </si>
  <si>
    <t>Participant93@example.com</t>
  </si>
  <si>
    <t>555-0093</t>
  </si>
  <si>
    <t>A094</t>
  </si>
  <si>
    <t>Participant 94</t>
  </si>
  <si>
    <t>Participant94@example.com</t>
  </si>
  <si>
    <t>555-0094</t>
  </si>
  <si>
    <t>A095</t>
  </si>
  <si>
    <t>Participant 95</t>
  </si>
  <si>
    <t>Participant95@example.com</t>
  </si>
  <si>
    <t>555-0095</t>
  </si>
  <si>
    <t>A096</t>
  </si>
  <si>
    <t>Participant 96</t>
  </si>
  <si>
    <t>Participant96@example.com</t>
  </si>
  <si>
    <t>555-0096</t>
  </si>
  <si>
    <t>A097</t>
  </si>
  <si>
    <t>Participant 97</t>
  </si>
  <si>
    <t>Participant97@example.com</t>
  </si>
  <si>
    <t>555-0097</t>
  </si>
  <si>
    <t>A098</t>
  </si>
  <si>
    <t>Participant 98</t>
  </si>
  <si>
    <t>Participant98@example.com</t>
  </si>
  <si>
    <t>555-0098</t>
  </si>
  <si>
    <t>A099</t>
  </si>
  <si>
    <t>Participant 99</t>
  </si>
  <si>
    <t>Participant99@example.com</t>
  </si>
  <si>
    <t>555-0099</t>
  </si>
  <si>
    <t>Target profit</t>
  </si>
  <si>
    <t>Marketing costs</t>
  </si>
  <si>
    <t>Operational costs</t>
  </si>
  <si>
    <t>ID</t>
  </si>
  <si>
    <t>Total Geral</t>
  </si>
  <si>
    <t>Date</t>
  </si>
  <si>
    <t>Count of Attendee ID</t>
  </si>
  <si>
    <t>Sum of the Ticket Price (€)</t>
  </si>
  <si>
    <t>Previsão(Count of Attendee ID)</t>
  </si>
  <si>
    <t>Limite de Confiança Inferior(Count of Attendee ID)</t>
  </si>
  <si>
    <t>Limite de Confiança Superior(Count of Attendee ID)</t>
  </si>
  <si>
    <t>Sum of payments per date</t>
  </si>
  <si>
    <t>Limite de Confiança Inferior(Sum of payments per date)</t>
  </si>
  <si>
    <t>Limite de Confiança Superior(Sum of payments per date)</t>
  </si>
  <si>
    <t>Payments per date</t>
  </si>
  <si>
    <t>Forecast(payments per date)</t>
  </si>
  <si>
    <t>Preço Médio do Bilhete:</t>
  </si>
  <si>
    <t>Lucro</t>
  </si>
  <si>
    <t>Predicted Attendance:</t>
  </si>
  <si>
    <t>Forecasted Revenue:</t>
  </si>
  <si>
    <t>Ticket price</t>
  </si>
  <si>
    <t>Total costs</t>
  </si>
  <si>
    <t>Profit</t>
  </si>
  <si>
    <t>Nº of attendes</t>
  </si>
  <si>
    <r>
      <t xml:space="preserve">Goal Seek </t>
    </r>
    <r>
      <rPr>
        <sz val="9"/>
        <color theme="1"/>
        <rFont val="Calibri"/>
        <family val="2"/>
        <scheme val="minor"/>
      </rPr>
      <t>(Price required to achieve profit target)</t>
    </r>
  </si>
  <si>
    <r>
      <t xml:space="preserve">Goal Seek </t>
    </r>
    <r>
      <rPr>
        <sz val="9"/>
        <color theme="1"/>
        <rFont val="Calibri"/>
        <family val="2"/>
        <scheme val="minor"/>
      </rPr>
      <t>(total nº of attendees required)</t>
    </r>
  </si>
  <si>
    <t>Total Attendees:</t>
  </si>
  <si>
    <t>Revenue</t>
  </si>
  <si>
    <t>Soma de Ticket Price (€)</t>
  </si>
  <si>
    <t>Session</t>
  </si>
  <si>
    <t>2022</t>
  </si>
  <si>
    <t>2023</t>
  </si>
  <si>
    <t>2024</t>
  </si>
  <si>
    <t>Contagem de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</si>
</sst>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&quot;€&quot;_-;\-* #,##0.00\ &quot;€&quot;_-;_-* &quot;-&quot;??\ &quot;€&quot;_-;_-@_-"/>
    <numFmt numFmtId="165" formatCode="yyyy\-mm\-dd"/>
    <numFmt numFmtId="166" formatCode="_-* #,##0_-;\-* #,##0_-;_-* &quot;-&quot;??_-;_-@"/>
    <numFmt numFmtId="167" formatCode="yyyy\-mm\-dd;@"/>
    <numFmt numFmtId="168" formatCode="#,##0.00\ &quot;€&quot;"/>
  </numFmts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23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165" fontId="4" fillId="0" borderId="0" xfId="0" applyNumberFormat="1" applyFont="1"/>
    <xf numFmtId="166" fontId="4" fillId="0" borderId="0" xfId="0" applyNumberFormat="1" applyFont="1"/>
    <xf numFmtId="0" fontId="0" fillId="0" borderId="0" xfId="0" pivotButton="1"/>
    <xf numFmtId="0" fontId="1" fillId="0" borderId="0" xfId="0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7" fontId="0" fillId="0" borderId="0" xfId="0" applyNumberFormat="1"/>
    <xf numFmtId="167" fontId="0" fillId="0" borderId="0" xfId="0" applyNumberFormat="1" applyAlignment="1">
      <alignment horizontal="left"/>
    </xf>
    <xf numFmtId="164" fontId="2" fillId="0" borderId="1" xfId="1" applyFont="1" applyBorder="1" applyAlignment="1">
      <alignment horizontal="center" vertical="top"/>
    </xf>
    <xf numFmtId="164" fontId="3" fillId="0" borderId="0" xfId="1" applyFont="1"/>
    <xf numFmtId="164" fontId="0" fillId="0" borderId="0" xfId="1" applyFont="1"/>
    <xf numFmtId="168" fontId="3" fillId="0" borderId="0" xfId="1" applyNumberFormat="1" applyFont="1"/>
    <xf numFmtId="0" fontId="6" fillId="0" borderId="0" xfId="0" applyFont="1"/>
    <xf numFmtId="164" fontId="7" fillId="0" borderId="0" xfId="1" applyFont="1"/>
    <xf numFmtId="0" fontId="7" fillId="0" borderId="0" xfId="1" applyNumberFormat="1" applyFont="1"/>
    <xf numFmtId="0" fontId="9" fillId="0" borderId="0" xfId="0" applyFont="1"/>
    <xf numFmtId="0" fontId="11" fillId="0" borderId="0" xfId="0" applyFont="1"/>
    <xf numFmtId="0" fontId="0" fillId="0" borderId="0" xfId="0" applyAlignment="1">
      <alignment horizontal="left"/>
    </xf>
    <xf numFmtId="10" fontId="0" fillId="0" borderId="0" xfId="0" applyNumberFormat="1"/>
  </cellXfs>
  <cellStyles count="2">
    <cellStyle name="Currency" xfId="1" builtinId="4"/>
    <cellStyle name="Normal" xfId="0" builtinId="0"/>
  </cellStyles>
  <dxfs count="12">
    <dxf>
      <numFmt numFmtId="2" formatCode="0.00"/>
    </dxf>
    <dxf>
      <numFmt numFmtId="2" formatCode="0.00"/>
    </dxf>
    <dxf>
      <numFmt numFmtId="167" formatCode="yyyy\-mm\-dd;@"/>
    </dxf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67" formatCode="yyyy\-mm\-dd;@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[Automation_and_Advanced_Techniques_With_Copilot.xlsm]PivotTable!Tabela Dinâmica2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Revenue by session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PivotTable!$A$4:$A$7</c:f>
              <c:strCache>
                <c:ptCount val="3"/>
                <c:pt idx="0">
                  <c:v>Artificial Intelligence</c:v>
                </c:pt>
                <c:pt idx="1">
                  <c:v>Cybersecurity</c:v>
                </c:pt>
                <c:pt idx="2">
                  <c:v>Data Analytics</c:v>
                </c:pt>
              </c:strCache>
            </c:strRef>
          </c:cat>
          <c:val>
            <c:numRef>
              <c:f>PivotTable!$B$4:$B$7</c:f>
              <c:numCache>
                <c:formatCode>General</c:formatCode>
                <c:ptCount val="3"/>
                <c:pt idx="0">
                  <c:v>23100</c:v>
                </c:pt>
                <c:pt idx="1">
                  <c:v>9600</c:v>
                </c:pt>
                <c:pt idx="2">
                  <c:v>15300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4A-4971-8F2E-A5D57F72F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348416"/>
        <c:axId val="128348896"/>
      </c:barChart>
      <c:catAx>
        <c:axId val="12834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896"/>
        <c:crosses val="autoZero"/>
        <c:auto val="1"/>
        <c:lblAlgn val="ctr"/>
        <c:lblOffset val="100"/>
        <c:noMultiLvlLbl val="0"/>
      </c:catAx>
      <c:valAx>
        <c:axId val="1283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[Automation_and_Advanced_Techniques_With_Copilot.xlsm]PivotTable2!Tabela Dinâmica1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Attendees</a:t>
            </a:r>
            <a:r>
              <a:rPr lang="pt-PT" baseline="0"/>
              <a:t> Trend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PivotTable2!$A$4:$A$7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PivotTable2!$B$4:$B$7</c:f>
              <c:numCache>
                <c:formatCode>General</c:formatCode>
                <c:ptCount val="3"/>
                <c:pt idx="0">
                  <c:v>5</c:v>
                </c:pt>
                <c:pt idx="1">
                  <c:v>42</c:v>
                </c:pt>
                <c:pt idx="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F-416D-93B0-086F0C61A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778336"/>
        <c:axId val="257774016"/>
      </c:lineChart>
      <c:catAx>
        <c:axId val="25777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4016"/>
        <c:crosses val="autoZero"/>
        <c:auto val="1"/>
        <c:lblAlgn val="ctr"/>
        <c:lblOffset val="100"/>
        <c:noMultiLvlLbl val="0"/>
      </c:catAx>
      <c:valAx>
        <c:axId val="25777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[Automation_and_Advanced_Techniques_With_Copilot.xlsm]PivotTable3!Tabela Dinâmica2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Online vs In-Person</a:t>
            </a:r>
            <a:r>
              <a:rPr lang="en-US" baseline="0"/>
              <a:t> attendance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73-4C04-98E2-D78D18564DF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73-4C04-98E2-D78D18564D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PivotTable3!$A$4:$A$6</c:f>
              <c:strCache>
                <c:ptCount val="2"/>
                <c:pt idx="0">
                  <c:v>In-Person</c:v>
                </c:pt>
                <c:pt idx="1">
                  <c:v>Online</c:v>
                </c:pt>
              </c:strCache>
            </c:strRef>
          </c:cat>
          <c:val>
            <c:numRef>
              <c:f>PivotTable3!$B$4:$B$6</c:f>
              <c:numCache>
                <c:formatCode>0.00%</c:formatCode>
                <c:ptCount val="2"/>
                <c:pt idx="0">
                  <c:v>0.49494949494949497</c:v>
                </c:pt>
                <c:pt idx="1">
                  <c:v>0.50505050505050508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73-4C04-98E2-D78D18564DF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[Automation_and_Advanced_Techniques_With_Copilot.xlsm]PivotTable!Tabela Dinâmica2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Revenue by session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PivotTable!$A$4:$A$7</c:f>
              <c:strCache>
                <c:ptCount val="3"/>
                <c:pt idx="0">
                  <c:v>Artificial Intelligence</c:v>
                </c:pt>
                <c:pt idx="1">
                  <c:v>Cybersecurity</c:v>
                </c:pt>
                <c:pt idx="2">
                  <c:v>Data Analytics</c:v>
                </c:pt>
              </c:strCache>
            </c:strRef>
          </c:cat>
          <c:val>
            <c:numRef>
              <c:f>PivotTable!$B$4:$B$7</c:f>
              <c:numCache>
                <c:formatCode>General</c:formatCode>
                <c:ptCount val="3"/>
                <c:pt idx="0">
                  <c:v>23100</c:v>
                </c:pt>
                <c:pt idx="1">
                  <c:v>9600</c:v>
                </c:pt>
                <c:pt idx="2">
                  <c:v>15300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4-4F0F-BA59-74E4FCC08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348416"/>
        <c:axId val="128348896"/>
      </c:barChart>
      <c:catAx>
        <c:axId val="12834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896"/>
        <c:crosses val="autoZero"/>
        <c:auto val="1"/>
        <c:lblAlgn val="ctr"/>
        <c:lblOffset val="100"/>
        <c:noMultiLvlLbl val="0"/>
      </c:catAx>
      <c:valAx>
        <c:axId val="1283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[Automation_and_Advanced_Techniques_With_Copilot.xlsm]PivotTable2!Tabela Dinâmica1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Attendees</a:t>
            </a:r>
            <a:r>
              <a:rPr lang="pt-PT" baseline="0"/>
              <a:t> Trend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PivotTable2!$A$4:$A$7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PivotTable2!$B$4:$B$7</c:f>
              <c:numCache>
                <c:formatCode>General</c:formatCode>
                <c:ptCount val="3"/>
                <c:pt idx="0">
                  <c:v>5</c:v>
                </c:pt>
                <c:pt idx="1">
                  <c:v>42</c:v>
                </c:pt>
                <c:pt idx="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EC-47C3-9929-6D266FEAC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778336"/>
        <c:axId val="257774016"/>
      </c:lineChart>
      <c:catAx>
        <c:axId val="25777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4016"/>
        <c:crosses val="autoZero"/>
        <c:auto val="1"/>
        <c:lblAlgn val="ctr"/>
        <c:lblOffset val="100"/>
        <c:noMultiLvlLbl val="0"/>
      </c:catAx>
      <c:valAx>
        <c:axId val="25777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[Automation_and_Advanced_Techniques_With_Copilot.xlsm]PivotTable3!Tabela Dinâmica2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Online vs In-Person</a:t>
            </a:r>
            <a:r>
              <a:rPr lang="en-US" baseline="0"/>
              <a:t> attendance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11-41D0-AA8A-7F3E2B2080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1-41D0-AA8A-7F3E2B2080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PivotTable3!$A$4:$A$6</c:f>
              <c:strCache>
                <c:ptCount val="2"/>
                <c:pt idx="0">
                  <c:v>In-Person</c:v>
                </c:pt>
                <c:pt idx="1">
                  <c:v>Online</c:v>
                </c:pt>
              </c:strCache>
            </c:strRef>
          </c:cat>
          <c:val>
            <c:numRef>
              <c:f>PivotTable3!$B$4:$B$6</c:f>
              <c:numCache>
                <c:formatCode>0.00%</c:formatCode>
                <c:ptCount val="2"/>
                <c:pt idx="0">
                  <c:v>0.49494949494949497</c:v>
                </c:pt>
                <c:pt idx="1">
                  <c:v>0.50505050505050508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11-41D0-AA8A-7F3E2B2080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Registrations</a:t>
            </a:r>
            <a:r>
              <a:rPr lang="pt-PT" baseline="0"/>
              <a:t> Forecast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Projections!$B$1</c:f>
              <c:strCache>
                <c:ptCount val="1"/>
                <c:pt idx="0">
                  <c:v>Count of Attendee 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Projections!$B$2:$B$903</c:f>
              <c:numCache>
                <c:formatCode>General</c:formatCode>
                <c:ptCount val="90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2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2</c:v>
                </c:pt>
                <c:pt idx="473">
                  <c:v>0</c:v>
                </c:pt>
                <c:pt idx="474">
                  <c:v>0</c:v>
                </c:pt>
                <c:pt idx="475">
                  <c:v>2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1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1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</c:v>
                </c:pt>
                <c:pt idx="711">
                  <c:v>0</c:v>
                </c:pt>
                <c:pt idx="712">
                  <c:v>1</c:v>
                </c:pt>
                <c:pt idx="713">
                  <c:v>0</c:v>
                </c:pt>
                <c:pt idx="714">
                  <c:v>0</c:v>
                </c:pt>
                <c:pt idx="715">
                  <c:v>1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4-4DE0-80F1-07E67ED724B0}"/>
            </c:ext>
          </c:extLst>
        </c:ser>
        <c:ser>
          <c:idx val="1"/>
          <c:order val="1"/>
          <c:tx>
            <c:strRef>
              <c:f>Projections!$C$1</c:f>
              <c:strCache>
                <c:ptCount val="1"/>
                <c:pt idx="0">
                  <c:v>Previsão(Count of Attendee ID)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Projections!$A$2:$A$903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Projections!$C$2:$C$903</c:f>
              <c:numCache>
                <c:formatCode>General</c:formatCode>
                <c:ptCount val="902"/>
                <c:pt idx="720">
                  <c:v>1</c:v>
                </c:pt>
                <c:pt idx="721">
                  <c:v>0.97711240227329776</c:v>
                </c:pt>
                <c:pt idx="722">
                  <c:v>0.97436704148568731</c:v>
                </c:pt>
                <c:pt idx="723">
                  <c:v>0.97867117214405153</c:v>
                </c:pt>
                <c:pt idx="724">
                  <c:v>1.0005584825747924</c:v>
                </c:pt>
                <c:pt idx="725">
                  <c:v>0.99732028914119353</c:v>
                </c:pt>
                <c:pt idx="726">
                  <c:v>0.9918997357234306</c:v>
                </c:pt>
                <c:pt idx="727">
                  <c:v>0.99852382007048679</c:v>
                </c:pt>
                <c:pt idx="728">
                  <c:v>1.0006023618064068</c:v>
                </c:pt>
                <c:pt idx="729">
                  <c:v>0.97771476407970448</c:v>
                </c:pt>
                <c:pt idx="730">
                  <c:v>0.97496940329209403</c:v>
                </c:pt>
                <c:pt idx="731">
                  <c:v>0.97927353395045813</c:v>
                </c:pt>
                <c:pt idx="732">
                  <c:v>1.001160844381199</c:v>
                </c:pt>
                <c:pt idx="733">
                  <c:v>0.99792265094760024</c:v>
                </c:pt>
                <c:pt idx="734">
                  <c:v>0.99250209752983731</c:v>
                </c:pt>
                <c:pt idx="735">
                  <c:v>0.9991261818768935</c:v>
                </c:pt>
                <c:pt idx="736">
                  <c:v>1.0012047236128134</c:v>
                </c:pt>
                <c:pt idx="737">
                  <c:v>0.97831712588611108</c:v>
                </c:pt>
                <c:pt idx="738">
                  <c:v>0.97557176509850063</c:v>
                </c:pt>
                <c:pt idx="739">
                  <c:v>0.97987589575686485</c:v>
                </c:pt>
                <c:pt idx="740">
                  <c:v>1.0017632061876058</c:v>
                </c:pt>
                <c:pt idx="741">
                  <c:v>0.99852501275400696</c:v>
                </c:pt>
                <c:pt idx="742">
                  <c:v>0.99310445933624403</c:v>
                </c:pt>
                <c:pt idx="743">
                  <c:v>0.99972854368330022</c:v>
                </c:pt>
                <c:pt idx="744">
                  <c:v>1.00180708541922</c:v>
                </c:pt>
                <c:pt idx="745">
                  <c:v>0.9789194876925178</c:v>
                </c:pt>
                <c:pt idx="746">
                  <c:v>0.97617412690490735</c:v>
                </c:pt>
                <c:pt idx="747">
                  <c:v>0.98047825756327156</c:v>
                </c:pt>
                <c:pt idx="748">
                  <c:v>1.0023655679940124</c:v>
                </c:pt>
                <c:pt idx="749">
                  <c:v>0.99912737456041367</c:v>
                </c:pt>
                <c:pt idx="750">
                  <c:v>0.99370682114265074</c:v>
                </c:pt>
                <c:pt idx="751">
                  <c:v>1.0003309054897069</c:v>
                </c:pt>
                <c:pt idx="752">
                  <c:v>1.0024094472256269</c:v>
                </c:pt>
                <c:pt idx="753">
                  <c:v>0.97952184949892451</c:v>
                </c:pt>
                <c:pt idx="754">
                  <c:v>0.97677648871131406</c:v>
                </c:pt>
                <c:pt idx="755">
                  <c:v>0.98108061936967828</c:v>
                </c:pt>
                <c:pt idx="756">
                  <c:v>1.0029679298004193</c:v>
                </c:pt>
                <c:pt idx="757">
                  <c:v>0.99972973636682028</c:v>
                </c:pt>
                <c:pt idx="758">
                  <c:v>0.99430918294905735</c:v>
                </c:pt>
                <c:pt idx="759">
                  <c:v>1.0009332672961135</c:v>
                </c:pt>
                <c:pt idx="760">
                  <c:v>1.0030118090320335</c:v>
                </c:pt>
                <c:pt idx="761">
                  <c:v>0.98012421130533123</c:v>
                </c:pt>
                <c:pt idx="762">
                  <c:v>0.97737885051772078</c:v>
                </c:pt>
                <c:pt idx="763">
                  <c:v>0.98168298117608499</c:v>
                </c:pt>
                <c:pt idx="764">
                  <c:v>1.0035702916068259</c:v>
                </c:pt>
                <c:pt idx="765">
                  <c:v>1.0003320981732271</c:v>
                </c:pt>
                <c:pt idx="766">
                  <c:v>0.99491154475546406</c:v>
                </c:pt>
                <c:pt idx="767">
                  <c:v>1.0015356291025204</c:v>
                </c:pt>
                <c:pt idx="768">
                  <c:v>1.0036141708384403</c:v>
                </c:pt>
                <c:pt idx="769">
                  <c:v>0.98072657311173794</c:v>
                </c:pt>
                <c:pt idx="770">
                  <c:v>0.97798121232412749</c:v>
                </c:pt>
                <c:pt idx="771">
                  <c:v>0.98228534298249159</c:v>
                </c:pt>
                <c:pt idx="772">
                  <c:v>1.0041726534132325</c:v>
                </c:pt>
                <c:pt idx="773">
                  <c:v>1.0009344599796337</c:v>
                </c:pt>
                <c:pt idx="774">
                  <c:v>0.99551390656187078</c:v>
                </c:pt>
                <c:pt idx="775">
                  <c:v>1.002137990908927</c:v>
                </c:pt>
                <c:pt idx="776">
                  <c:v>1.0042165326448469</c:v>
                </c:pt>
                <c:pt idx="777">
                  <c:v>0.98132893491814466</c:v>
                </c:pt>
                <c:pt idx="778">
                  <c:v>0.9785835741305341</c:v>
                </c:pt>
                <c:pt idx="779">
                  <c:v>0.98288770478889831</c:v>
                </c:pt>
                <c:pt idx="780">
                  <c:v>1.0047750152196393</c:v>
                </c:pt>
                <c:pt idx="781">
                  <c:v>1.0015368217860405</c:v>
                </c:pt>
                <c:pt idx="782">
                  <c:v>0.99611626836827749</c:v>
                </c:pt>
                <c:pt idx="783">
                  <c:v>1.0027403527153338</c:v>
                </c:pt>
                <c:pt idx="784">
                  <c:v>1.0048188944512535</c:v>
                </c:pt>
                <c:pt idx="785">
                  <c:v>0.98193129672455126</c:v>
                </c:pt>
                <c:pt idx="786">
                  <c:v>0.97918593593694081</c:v>
                </c:pt>
                <c:pt idx="787">
                  <c:v>0.98349006659530502</c:v>
                </c:pt>
                <c:pt idx="788">
                  <c:v>1.0053773770260459</c:v>
                </c:pt>
                <c:pt idx="789">
                  <c:v>1.0021391835924471</c:v>
                </c:pt>
                <c:pt idx="790">
                  <c:v>0.99671863017468421</c:v>
                </c:pt>
                <c:pt idx="791">
                  <c:v>1.0033427145217404</c:v>
                </c:pt>
                <c:pt idx="792">
                  <c:v>1.0054212562576603</c:v>
                </c:pt>
                <c:pt idx="793">
                  <c:v>0.98253365853095798</c:v>
                </c:pt>
                <c:pt idx="794">
                  <c:v>0.97978829774334752</c:v>
                </c:pt>
                <c:pt idx="795">
                  <c:v>0.98409242840171174</c:v>
                </c:pt>
                <c:pt idx="796">
                  <c:v>1.0059797388324527</c:v>
                </c:pt>
                <c:pt idx="797">
                  <c:v>1.002741545398854</c:v>
                </c:pt>
                <c:pt idx="798">
                  <c:v>0.99732099198109081</c:v>
                </c:pt>
                <c:pt idx="799">
                  <c:v>1.003945076328147</c:v>
                </c:pt>
                <c:pt idx="800">
                  <c:v>1.0060236180640669</c:v>
                </c:pt>
                <c:pt idx="801">
                  <c:v>0.98313602033736469</c:v>
                </c:pt>
                <c:pt idx="802">
                  <c:v>0.98039065954975424</c:v>
                </c:pt>
                <c:pt idx="803">
                  <c:v>0.98469479020811845</c:v>
                </c:pt>
                <c:pt idx="804">
                  <c:v>1.0065821006388593</c:v>
                </c:pt>
                <c:pt idx="805">
                  <c:v>1.0033439072052606</c:v>
                </c:pt>
                <c:pt idx="806">
                  <c:v>0.99792335378749752</c:v>
                </c:pt>
                <c:pt idx="807">
                  <c:v>1.0045474381345538</c:v>
                </c:pt>
                <c:pt idx="808">
                  <c:v>1.0066259798704738</c:v>
                </c:pt>
                <c:pt idx="809">
                  <c:v>0.98373838214377141</c:v>
                </c:pt>
                <c:pt idx="810">
                  <c:v>0.98099302135616095</c:v>
                </c:pt>
                <c:pt idx="811">
                  <c:v>0.98529715201452506</c:v>
                </c:pt>
                <c:pt idx="812">
                  <c:v>1.0071844624452659</c:v>
                </c:pt>
                <c:pt idx="813">
                  <c:v>1.0039462690116672</c:v>
                </c:pt>
                <c:pt idx="814">
                  <c:v>0.99852571559390424</c:v>
                </c:pt>
                <c:pt idx="815">
                  <c:v>1.0051497999409604</c:v>
                </c:pt>
                <c:pt idx="816">
                  <c:v>1.0072283416768804</c:v>
                </c:pt>
                <c:pt idx="817">
                  <c:v>0.98434074395017812</c:v>
                </c:pt>
                <c:pt idx="818">
                  <c:v>0.98159538316256756</c:v>
                </c:pt>
                <c:pt idx="819">
                  <c:v>0.98589951382093177</c:v>
                </c:pt>
                <c:pt idx="820">
                  <c:v>1.0077868242516728</c:v>
                </c:pt>
                <c:pt idx="821">
                  <c:v>1.004548630818074</c:v>
                </c:pt>
                <c:pt idx="822">
                  <c:v>0.99912807740031095</c:v>
                </c:pt>
                <c:pt idx="823">
                  <c:v>1.0057521617473673</c:v>
                </c:pt>
                <c:pt idx="824">
                  <c:v>1.007830703483287</c:v>
                </c:pt>
                <c:pt idx="825">
                  <c:v>0.98494310575658472</c:v>
                </c:pt>
                <c:pt idx="826">
                  <c:v>0.98219774496897427</c:v>
                </c:pt>
                <c:pt idx="827">
                  <c:v>0.98650187562733849</c:v>
                </c:pt>
                <c:pt idx="828">
                  <c:v>1.0083891860580794</c:v>
                </c:pt>
                <c:pt idx="829">
                  <c:v>1.0051509926244806</c:v>
                </c:pt>
                <c:pt idx="830">
                  <c:v>0.99973043920671767</c:v>
                </c:pt>
                <c:pt idx="831">
                  <c:v>1.0063545235537739</c:v>
                </c:pt>
                <c:pt idx="832">
                  <c:v>1.0084330652896938</c:v>
                </c:pt>
                <c:pt idx="833">
                  <c:v>0.98554546756299144</c:v>
                </c:pt>
                <c:pt idx="834">
                  <c:v>0.98280010677538099</c:v>
                </c:pt>
                <c:pt idx="835">
                  <c:v>0.9871042374337452</c:v>
                </c:pt>
                <c:pt idx="836">
                  <c:v>1.0089915478644862</c:v>
                </c:pt>
                <c:pt idx="837">
                  <c:v>1.0057533544308874</c:v>
                </c:pt>
                <c:pt idx="838">
                  <c:v>1.0003328010131243</c:v>
                </c:pt>
                <c:pt idx="839">
                  <c:v>1.0069568853601805</c:v>
                </c:pt>
                <c:pt idx="840">
                  <c:v>1.0090354270961004</c:v>
                </c:pt>
                <c:pt idx="841">
                  <c:v>0.98614782936939815</c:v>
                </c:pt>
                <c:pt idx="842">
                  <c:v>0.9834024685817877</c:v>
                </c:pt>
                <c:pt idx="843">
                  <c:v>0.98770659924015192</c:v>
                </c:pt>
                <c:pt idx="844">
                  <c:v>1.0095939096708928</c:v>
                </c:pt>
                <c:pt idx="845">
                  <c:v>1.006355716237294</c:v>
                </c:pt>
                <c:pt idx="846">
                  <c:v>1.0009351628195311</c:v>
                </c:pt>
                <c:pt idx="847">
                  <c:v>1.0075592471665873</c:v>
                </c:pt>
                <c:pt idx="848">
                  <c:v>1.0096377889025072</c:v>
                </c:pt>
                <c:pt idx="849">
                  <c:v>0.98675019117580487</c:v>
                </c:pt>
                <c:pt idx="850">
                  <c:v>0.98400483038819442</c:v>
                </c:pt>
                <c:pt idx="851">
                  <c:v>0.98830896104655852</c:v>
                </c:pt>
                <c:pt idx="852">
                  <c:v>1.0101962714772994</c:v>
                </c:pt>
                <c:pt idx="853">
                  <c:v>1.0069580780437006</c:v>
                </c:pt>
                <c:pt idx="854">
                  <c:v>1.0015375246259377</c:v>
                </c:pt>
                <c:pt idx="855">
                  <c:v>1.0081616089729939</c:v>
                </c:pt>
                <c:pt idx="856">
                  <c:v>1.0102401507089138</c:v>
                </c:pt>
                <c:pt idx="857">
                  <c:v>0.98735255298221158</c:v>
                </c:pt>
                <c:pt idx="858">
                  <c:v>0.98460719219460102</c:v>
                </c:pt>
                <c:pt idx="859">
                  <c:v>0.98891132285296535</c:v>
                </c:pt>
                <c:pt idx="860">
                  <c:v>1.0107986332837062</c:v>
                </c:pt>
                <c:pt idx="861">
                  <c:v>1.0075604398501072</c:v>
                </c:pt>
                <c:pt idx="862">
                  <c:v>1.0021398864323445</c:v>
                </c:pt>
                <c:pt idx="863">
                  <c:v>1.0087639707794005</c:v>
                </c:pt>
                <c:pt idx="864">
                  <c:v>1.0108425125153206</c:v>
                </c:pt>
                <c:pt idx="865">
                  <c:v>0.98795491478861819</c:v>
                </c:pt>
                <c:pt idx="866">
                  <c:v>0.98520955400100785</c:v>
                </c:pt>
                <c:pt idx="867">
                  <c:v>0.98951368465937195</c:v>
                </c:pt>
                <c:pt idx="868">
                  <c:v>1.0114009950901128</c:v>
                </c:pt>
                <c:pt idx="869">
                  <c:v>1.0081628016565141</c:v>
                </c:pt>
                <c:pt idx="870">
                  <c:v>1.0027422482387511</c:v>
                </c:pt>
                <c:pt idx="871">
                  <c:v>1.0093663325858073</c:v>
                </c:pt>
                <c:pt idx="872">
                  <c:v>1.0114448743217272</c:v>
                </c:pt>
                <c:pt idx="873">
                  <c:v>0.98855727659502501</c:v>
                </c:pt>
                <c:pt idx="874">
                  <c:v>0.98581191580741445</c:v>
                </c:pt>
                <c:pt idx="875">
                  <c:v>0.99011604646577855</c:v>
                </c:pt>
                <c:pt idx="876">
                  <c:v>1.0120033568965197</c:v>
                </c:pt>
                <c:pt idx="877">
                  <c:v>1.0087651634629207</c:v>
                </c:pt>
                <c:pt idx="878">
                  <c:v>1.003344610045158</c:v>
                </c:pt>
                <c:pt idx="879">
                  <c:v>1.0099686943922139</c:v>
                </c:pt>
                <c:pt idx="880">
                  <c:v>1.0120472361281341</c:v>
                </c:pt>
                <c:pt idx="881">
                  <c:v>0.98915963840143162</c:v>
                </c:pt>
                <c:pt idx="882">
                  <c:v>0.98641427761382106</c:v>
                </c:pt>
                <c:pt idx="883">
                  <c:v>0.99071840827218538</c:v>
                </c:pt>
                <c:pt idx="884">
                  <c:v>1.0126057187029263</c:v>
                </c:pt>
                <c:pt idx="885">
                  <c:v>1.0093675252693275</c:v>
                </c:pt>
                <c:pt idx="886">
                  <c:v>1.0039469718515646</c:v>
                </c:pt>
                <c:pt idx="887">
                  <c:v>1.0105710561986208</c:v>
                </c:pt>
                <c:pt idx="888">
                  <c:v>1.0126495979345407</c:v>
                </c:pt>
                <c:pt idx="889">
                  <c:v>0.98976200020783822</c:v>
                </c:pt>
                <c:pt idx="890">
                  <c:v>0.98701663942022788</c:v>
                </c:pt>
                <c:pt idx="891">
                  <c:v>0.99132077007859198</c:v>
                </c:pt>
                <c:pt idx="892">
                  <c:v>1.0132080805093331</c:v>
                </c:pt>
                <c:pt idx="893">
                  <c:v>1.0099698870757341</c:v>
                </c:pt>
                <c:pt idx="894">
                  <c:v>1.0045493336579714</c:v>
                </c:pt>
                <c:pt idx="895">
                  <c:v>1.0111734180050274</c:v>
                </c:pt>
                <c:pt idx="896">
                  <c:v>1.0132519597409473</c:v>
                </c:pt>
                <c:pt idx="897">
                  <c:v>0.99036436201424505</c:v>
                </c:pt>
                <c:pt idx="898">
                  <c:v>0.98761900122663449</c:v>
                </c:pt>
                <c:pt idx="899">
                  <c:v>0.99192313188499881</c:v>
                </c:pt>
                <c:pt idx="900">
                  <c:v>1.0138104423157397</c:v>
                </c:pt>
                <c:pt idx="901">
                  <c:v>1.0105722488821409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F4-4DE0-80F1-07E67ED724B0}"/>
            </c:ext>
          </c:extLst>
        </c:ser>
        <c:ser>
          <c:idx val="2"/>
          <c:order val="2"/>
          <c:tx>
            <c:strRef>
              <c:f>Projections!$D$1</c:f>
              <c:strCache>
                <c:ptCount val="1"/>
                <c:pt idx="0">
                  <c:v>Limite de Confiança Inferior(Count of Attendee ID)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Projections!$D$2:$D$903</c:f>
              <c:numCache>
                <c:formatCode>0.00</c:formatCode>
                <c:ptCount val="902"/>
                <c:pt idx="720">
                  <c:v>1</c:v>
                </c:pt>
                <c:pt idx="721">
                  <c:v>0.22977314515153557</c:v>
                </c:pt>
                <c:pt idx="722">
                  <c:v>0.22102497493252604</c:v>
                </c:pt>
                <c:pt idx="723">
                  <c:v>0.21927997202845695</c:v>
                </c:pt>
                <c:pt idx="724">
                  <c:v>0.23507219335043039</c:v>
                </c:pt>
                <c:pt idx="725">
                  <c:v>0.22569332045557255</c:v>
                </c:pt>
                <c:pt idx="726">
                  <c:v>0.21408685894498369</c:v>
                </c:pt>
                <c:pt idx="727">
                  <c:v>0.21448016474214771</c:v>
                </c:pt>
                <c:pt idx="728">
                  <c:v>0.21028341203380341</c:v>
                </c:pt>
                <c:pt idx="729">
                  <c:v>0.18098206371145409</c:v>
                </c:pt>
                <c:pt idx="730">
                  <c:v>0.17187417276055994</c:v>
                </c:pt>
                <c:pt idx="731">
                  <c:v>0.16977229207649402</c:v>
                </c:pt>
                <c:pt idx="732">
                  <c:v>0.18521044959791844</c:v>
                </c:pt>
                <c:pt idx="733">
                  <c:v>0.17548029747294325</c:v>
                </c:pt>
                <c:pt idx="734">
                  <c:v>0.16352531151394156</c:v>
                </c:pt>
                <c:pt idx="735">
                  <c:v>0.16357281752973463</c:v>
                </c:pt>
                <c:pt idx="736">
                  <c:v>0.15903295931725159</c:v>
                </c:pt>
                <c:pt idx="737">
                  <c:v>0.12939170304274017</c:v>
                </c:pt>
                <c:pt idx="738">
                  <c:v>0.11994599028635022</c:v>
                </c:pt>
                <c:pt idx="739">
                  <c:v>0.11750888944342053</c:v>
                </c:pt>
                <c:pt idx="740">
                  <c:v>0.13261439744017134</c:v>
                </c:pt>
                <c:pt idx="741">
                  <c:v>0.12255413534880444</c:v>
                </c:pt>
                <c:pt idx="742">
                  <c:v>0.11027154787745042</c:v>
                </c:pt>
                <c:pt idx="743">
                  <c:v>0.10999392973522848</c:v>
                </c:pt>
                <c:pt idx="744">
                  <c:v>0.10513139365462587</c:v>
                </c:pt>
                <c:pt idx="745">
                  <c:v>7.5170618412537138E-2</c:v>
                </c:pt>
                <c:pt idx="746">
                  <c:v>6.5407009992919818E-2</c:v>
                </c:pt>
                <c:pt idx="747">
                  <c:v>6.2654366988957544E-2</c:v>
                </c:pt>
                <c:pt idx="748">
                  <c:v>7.7446655689174859E-2</c:v>
                </c:pt>
                <c:pt idx="749">
                  <c:v>6.7075466686885354E-2</c:v>
                </c:pt>
                <c:pt idx="750">
                  <c:v>5.4484214389883934E-2</c:v>
                </c:pt>
                <c:pt idx="751">
                  <c:v>5.3900163403721502E-2</c:v>
                </c:pt>
                <c:pt idx="752">
                  <c:v>4.8733396570838639E-2</c:v>
                </c:pt>
                <c:pt idx="753">
                  <c:v>1.8471459711985383E-2</c:v>
                </c:pt>
                <c:pt idx="754">
                  <c:v>8.4079153743116253E-3</c:v>
                </c:pt>
                <c:pt idx="755">
                  <c:v>5.3574503628305292E-3</c:v>
                </c:pt>
                <c:pt idx="756">
                  <c:v>1.9854002083173561E-2</c:v>
                </c:pt>
                <c:pt idx="757">
                  <c:v>9.1891325230075704E-3</c:v>
                </c:pt>
                <c:pt idx="758">
                  <c:v>-3.6937722287329056E-3</c:v>
                </c:pt>
                <c:pt idx="759">
                  <c:v>-4.5674755900222408E-3</c:v>
                </c:pt>
                <c:pt idx="760">
                  <c:v>-1.002192243898814E-2</c:v>
                </c:pt>
                <c:pt idx="761">
                  <c:v>-4.0568589126096288E-2</c:v>
                </c:pt>
                <c:pt idx="762">
                  <c:v>-5.0915973259486158E-2</c:v>
                </c:pt>
                <c:pt idx="763">
                  <c:v>-5.4248386825578754E-2</c:v>
                </c:pt>
                <c:pt idx="764">
                  <c:v>-4.0031918860785387E-2</c:v>
                </c:pt>
                <c:pt idx="765">
                  <c:v>-5.0975033491057031E-2</c:v>
                </c:pt>
                <c:pt idx="766">
                  <c:v>-6.4134370409515973E-2</c:v>
                </c:pt>
                <c:pt idx="767">
                  <c:v>-6.5282718482086777E-2</c:v>
                </c:pt>
                <c:pt idx="768">
                  <c:v>-7.1010047698755629E-2</c:v>
                </c:pt>
                <c:pt idx="769">
                  <c:v>-0.10182678007784529</c:v>
                </c:pt>
                <c:pt idx="770">
                  <c:v>-0.11244361953607063</c:v>
                </c:pt>
                <c:pt idx="771">
                  <c:v>-0.11604379915863849</c:v>
                </c:pt>
                <c:pt idx="772">
                  <c:v>-0.10209343173596297</c:v>
                </c:pt>
                <c:pt idx="773">
                  <c:v>-0.11330100480949379</c:v>
                </c:pt>
                <c:pt idx="774">
                  <c:v>-0.12672318114996695</c:v>
                </c:pt>
                <c:pt idx="775">
                  <c:v>-0.12813277236400267</c:v>
                </c:pt>
                <c:pt idx="776">
                  <c:v>-0.1341197708466324</c:v>
                </c:pt>
                <c:pt idx="777">
                  <c:v>-0.16519349443350584</c:v>
                </c:pt>
                <c:pt idx="778">
                  <c:v>-0.17606694536277823</c:v>
                </c:pt>
                <c:pt idx="779">
                  <c:v>-0.17992222752385179</c:v>
                </c:pt>
                <c:pt idx="780">
                  <c:v>-0.16622547478681704</c:v>
                </c:pt>
                <c:pt idx="781">
                  <c:v>-0.17768519544762751</c:v>
                </c:pt>
                <c:pt idx="782">
                  <c:v>-0.19135807270901706</c:v>
                </c:pt>
                <c:pt idx="783">
                  <c:v>-0.19301693828992361</c:v>
                </c:pt>
                <c:pt idx="784">
                  <c:v>-0.19925180438100454</c:v>
                </c:pt>
                <c:pt idx="785">
                  <c:v>-0.23057085532061161</c:v>
                </c:pt>
                <c:pt idx="786">
                  <c:v>-0.24168944248704105</c:v>
                </c:pt>
                <c:pt idx="787">
                  <c:v>-0.24578851134556801</c:v>
                </c:pt>
                <c:pt idx="788">
                  <c:v>-0.23233421432849299</c:v>
                </c:pt>
                <c:pt idx="789">
                  <c:v>-0.24403507799418223</c:v>
                </c:pt>
                <c:pt idx="790">
                  <c:v>-0.25794780351159763</c:v>
                </c:pt>
                <c:pt idx="791">
                  <c:v>-0.25984524027340128</c:v>
                </c:pt>
                <c:pt idx="792">
                  <c:v>-0.26631741785520546</c:v>
                </c:pt>
                <c:pt idx="793">
                  <c:v>-0.29787137347010118</c:v>
                </c:pt>
                <c:pt idx="794">
                  <c:v>-0.30922482736939438</c:v>
                </c:pt>
                <c:pt idx="795">
                  <c:v>-0.31355755342016967</c:v>
                </c:pt>
                <c:pt idx="796">
                  <c:v>-0.30033572032502076</c:v>
                </c:pt>
                <c:pt idx="797">
                  <c:v>-0.31226787064319961</c:v>
                </c:pt>
                <c:pt idx="798">
                  <c:v>-0.32641072127905635</c:v>
                </c:pt>
                <c:pt idx="799">
                  <c:v>-0.32853713709906285</c:v>
                </c:pt>
                <c:pt idx="800">
                  <c:v>-0.33523716289498662</c:v>
                </c:pt>
                <c:pt idx="801">
                  <c:v>-0.36701668700105272</c:v>
                </c:pt>
                <c:pt idx="802">
                  <c:v>-0.37859579502866647</c:v>
                </c:pt>
                <c:pt idx="803">
                  <c:v>-0.38315308819341132</c:v>
                </c:pt>
                <c:pt idx="804">
                  <c:v>-0.37015474942545468</c:v>
                </c:pt>
                <c:pt idx="805">
                  <c:v>-0.38230933527349409</c:v>
                </c:pt>
                <c:pt idx="806">
                  <c:v>-0.39667357639703715</c:v>
                </c:pt>
                <c:pt idx="807">
                  <c:v>-0.39902035118723855</c:v>
                </c:pt>
                <c:pt idx="808">
                  <c:v>-0.40593971773386217</c:v>
                </c:pt>
                <c:pt idx="809">
                  <c:v>-0.43793642263453181</c:v>
                </c:pt>
                <c:pt idx="810">
                  <c:v>-0.44973289615369805</c:v>
                </c:pt>
                <c:pt idx="811">
                  <c:v>-0.45450657485537249</c:v>
                </c:pt>
                <c:pt idx="812">
                  <c:v>-0.44172365410160874</c:v>
                </c:pt>
                <c:pt idx="813">
                  <c:v>-0.45409270266476054</c:v>
                </c:pt>
                <c:pt idx="814">
                  <c:v>-0.46867046322333406</c:v>
                </c:pt>
                <c:pt idx="815">
                  <c:v>-0.4712298259863601</c:v>
                </c:pt>
                <c:pt idx="816">
                  <c:v>-0.47836086066384476</c:v>
                </c:pt>
                <c:pt idx="817">
                  <c:v>-0.51056718583899086</c:v>
                </c:pt>
                <c:pt idx="818">
                  <c:v>-0.52257354318238447</c:v>
                </c:pt>
                <c:pt idx="819">
                  <c:v>-0.52755621927910601</c:v>
                </c:pt>
                <c:pt idx="820">
                  <c:v>-0.51498142035858607</c:v>
                </c:pt>
                <c:pt idx="821">
                  <c:v>-0.5275577258797135</c:v>
                </c:pt>
                <c:pt idx="822">
                  <c:v>-0.5423418890299071</c:v>
                </c:pt>
                <c:pt idx="823">
                  <c:v>-0.54510681035266551</c:v>
                </c:pt>
                <c:pt idx="824">
                  <c:v>-0.55244256972114614</c:v>
                </c:pt>
                <c:pt idx="825">
                  <c:v>-0.5848516762123821</c:v>
                </c:pt>
                <c:pt idx="826">
                  <c:v>-0.59706114068528016</c:v>
                </c:pt>
                <c:pt idx="827">
                  <c:v>-0.60224611925125249</c:v>
                </c:pt>
                <c:pt idx="828">
                  <c:v>-0.58987282765162585</c:v>
                </c:pt>
                <c:pt idx="829">
                  <c:v>-0.60264985470078014</c:v>
                </c:pt>
                <c:pt idx="830">
                  <c:v>-0.61763396278806693</c:v>
                </c:pt>
                <c:pt idx="831">
                  <c:v>-0.62059806150815477</c:v>
                </c:pt>
                <c:pt idx="832">
                  <c:v>-0.62813223963736409</c:v>
                </c:pt>
                <c:pt idx="833">
                  <c:v>-0.66073791865616116</c:v>
                </c:pt>
                <c:pt idx="834">
                  <c:v>-0.67314433015220076</c:v>
                </c:pt>
                <c:pt idx="835">
                  <c:v>-0.67852552268371868</c:v>
                </c:pt>
                <c:pt idx="836">
                  <c:v>-0.66634772033338896</c:v>
                </c:pt>
                <c:pt idx="837">
                  <c:v>-0.67931952012197061</c:v>
                </c:pt>
                <c:pt idx="838">
                  <c:v>-0.69449769251270688</c:v>
                </c:pt>
                <c:pt idx="839">
                  <c:v>-0.69765515504410502</c:v>
                </c:pt>
                <c:pt idx="840">
                  <c:v>-0.70538200430866427</c:v>
                </c:pt>
                <c:pt idx="841">
                  <c:v>-0.738178598435834</c:v>
                </c:pt>
                <c:pt idx="842">
                  <c:v>-0.75077633712153213</c:v>
                </c:pt>
                <c:pt idx="843">
                  <c:v>-0.75634818661848757</c:v>
                </c:pt>
                <c:pt idx="844">
                  <c:v>-0.74436037834147695</c:v>
                </c:pt>
                <c:pt idx="845">
                  <c:v>-0.75752151652698929</c:v>
                </c:pt>
                <c:pt idx="846">
                  <c:v>-0.77288837873976823</c:v>
                </c:pt>
                <c:pt idx="847">
                  <c:v>-0.77623388950769612</c:v>
                </c:pt>
                <c:pt idx="848">
                  <c:v>-0.7841481523025815</c:v>
                </c:pt>
                <c:pt idx="849">
                  <c:v>-0.81713048766757435</c:v>
                </c:pt>
                <c:pt idx="850">
                  <c:v>-0.8299144082064781</c:v>
                </c:pt>
                <c:pt idx="851">
                  <c:v>-0.83567182460923828</c:v>
                </c:pt>
                <c:pt idx="852">
                  <c:v>-0.8238689747528789</c:v>
                </c:pt>
                <c:pt idx="853">
                  <c:v>-0.83721446923577969</c:v>
                </c:pt>
                <c:pt idx="854">
                  <c:v>-0.8527650918860592</c:v>
                </c:pt>
                <c:pt idx="855">
                  <c:v>-0.85629377339826163</c:v>
                </c:pt>
                <c:pt idx="856">
                  <c:v>-0.86439062331591754</c:v>
                </c:pt>
                <c:pt idx="857">
                  <c:v>-0.89755395125620807</c:v>
                </c:pt>
                <c:pt idx="858">
                  <c:v>-0.91051932614649933</c:v>
                </c:pt>
                <c:pt idx="859">
                  <c:v>-0.91645763071815356</c:v>
                </c:pt>
                <c:pt idx="860">
                  <c:v>-0.90483510856032145</c:v>
                </c:pt>
                <c:pt idx="861">
                  <c:v>-0.91836037589687969</c:v>
                </c:pt>
                <c:pt idx="862">
                  <c:v>-0.93409022209639114</c:v>
                </c:pt>
                <c:pt idx="863">
                  <c:v>-0.93779758331033869</c:v>
                </c:pt>
                <c:pt idx="864">
                  <c:v>-0.94607257445719584</c:v>
                </c:pt>
                <c:pt idx="865">
                  <c:v>-0.97941252131057133</c:v>
                </c:pt>
                <c:pt idx="866">
                  <c:v>-0.99255499205252684</c:v>
                </c:pt>
                <c:pt idx="867">
                  <c:v>-0.99866986944178615</c:v>
                </c:pt>
                <c:pt idx="868">
                  <c:v>-0.9872234021319708</c:v>
                </c:pt>
                <c:pt idx="869">
                  <c:v>-1.0009242113365375</c:v>
                </c:pt>
                <c:pt idx="870">
                  <c:v>-1.0168290913400868</c:v>
                </c:pt>
                <c:pt idx="871">
                  <c:v>-1.0207109831379135</c:v>
                </c:pt>
                <c:pt idx="872">
                  <c:v>-1.0291600064213744</c:v>
                </c:pt>
                <c:pt idx="873">
                  <c:v>-1.0626725302677864</c:v>
                </c:pt>
                <c:pt idx="874">
                  <c:v>-1.0759880652315639</c:v>
                </c:pt>
                <c:pt idx="875">
                  <c:v>-1.0822755221058509</c:v>
                </c:pt>
                <c:pt idx="876">
                  <c:v>-1.0710011540486015</c:v>
                </c:pt>
                <c:pt idx="877">
                  <c:v>-1.0848735867127381</c:v>
                </c:pt>
                <c:pt idx="878">
                  <c:v>-1.1009496187586054</c:v>
                </c:pt>
                <c:pt idx="879">
                  <c:v>-1.105002195494653</c:v>
                </c:pt>
                <c:pt idx="880">
                  <c:v>-1.1136214408639045</c:v>
                </c:pt>
                <c:pt idx="881">
                  <c:v>-1.1473027941925862</c:v>
                </c:pt>
                <c:pt idx="882">
                  <c:v>-1.1607876522069436</c:v>
                </c:pt>
                <c:pt idx="883">
                  <c:v>-1.1672439814942568</c:v>
                </c:pt>
                <c:pt idx="884">
                  <c:v>-1.1561380392313558</c:v>
                </c:pt>
                <c:pt idx="885">
                  <c:v>-1.1701784550337269</c:v>
                </c:pt>
                <c:pt idx="886">
                  <c:v>-1.1864220314689473</c:v>
                </c:pt>
                <c:pt idx="887">
                  <c:v>-1.1906417176983319</c:v>
                </c:pt>
                <c:pt idx="888">
                  <c:v>-1.1994276414643466</c:v>
                </c:pt>
                <c:pt idx="889">
                  <c:v>-1.2332743388881304</c:v>
                </c:pt>
                <c:pt idx="890">
                  <c:v>-1.2469250377091923</c:v>
                </c:pt>
                <c:pt idx="891">
                  <c:v>-1.2535467876240585</c:v>
                </c:pt>
                <c:pt idx="892">
                  <c:v>-1.2426058494067198</c:v>
                </c:pt>
                <c:pt idx="893">
                  <c:v>-1.2568108562208162</c:v>
                </c:pt>
                <c:pt idx="894">
                  <c:v>-1.2732186141339152</c:v>
                </c:pt>
                <c:pt idx="895">
                  <c:v>-1.2776020757599773</c:v>
                </c:pt>
                <c:pt idx="896">
                  <c:v>-1.2865513722475785</c:v>
                </c:pt>
                <c:pt idx="897">
                  <c:v>-1.3205601625165346</c:v>
                </c:pt>
                <c:pt idx="898">
                  <c:v>-1.3343734514592263</c:v>
                </c:pt>
                <c:pt idx="899">
                  <c:v>-1.3411573986096701</c:v>
                </c:pt>
                <c:pt idx="900">
                  <c:v>-1.3303782679717451</c:v>
                </c:pt>
                <c:pt idx="901">
                  <c:v>-1.3447446958962201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F4-4DE0-80F1-07E67ED724B0}"/>
            </c:ext>
          </c:extLst>
        </c:ser>
        <c:ser>
          <c:idx val="3"/>
          <c:order val="3"/>
          <c:tx>
            <c:strRef>
              <c:f>Projections!$E$1</c:f>
              <c:strCache>
                <c:ptCount val="1"/>
                <c:pt idx="0">
                  <c:v>Limite de Confiança Superior(Count of Attendee ID)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Projections!$E$2:$E$903</c:f>
              <c:numCache>
                <c:formatCode>0.00</c:formatCode>
                <c:ptCount val="902"/>
                <c:pt idx="720">
                  <c:v>1</c:v>
                </c:pt>
                <c:pt idx="721">
                  <c:v>1.7244516593950601</c:v>
                </c:pt>
                <c:pt idx="722">
                  <c:v>1.7277091080388485</c:v>
                </c:pt>
                <c:pt idx="723">
                  <c:v>1.738062372259646</c:v>
                </c:pt>
                <c:pt idx="724">
                  <c:v>1.7660447717991543</c:v>
                </c:pt>
                <c:pt idx="725">
                  <c:v>1.7689472578268144</c:v>
                </c:pt>
                <c:pt idx="726">
                  <c:v>1.7697126125018774</c:v>
                </c:pt>
                <c:pt idx="727">
                  <c:v>1.7825674753988259</c:v>
                </c:pt>
                <c:pt idx="728">
                  <c:v>1.7909213115790101</c:v>
                </c:pt>
                <c:pt idx="729">
                  <c:v>1.7744474644479549</c:v>
                </c:pt>
                <c:pt idx="730">
                  <c:v>1.7780646338236281</c:v>
                </c:pt>
                <c:pt idx="731">
                  <c:v>1.7887747758244221</c:v>
                </c:pt>
                <c:pt idx="732">
                  <c:v>1.8171112391644795</c:v>
                </c:pt>
                <c:pt idx="733">
                  <c:v>1.8203650044222572</c:v>
                </c:pt>
                <c:pt idx="734">
                  <c:v>1.821478883545733</c:v>
                </c:pt>
                <c:pt idx="735">
                  <c:v>1.8346795462240524</c:v>
                </c:pt>
                <c:pt idx="736">
                  <c:v>1.8433764879083752</c:v>
                </c:pt>
                <c:pt idx="737">
                  <c:v>1.8272425487294819</c:v>
                </c:pt>
                <c:pt idx="738">
                  <c:v>1.831197539910651</c:v>
                </c:pt>
                <c:pt idx="739">
                  <c:v>1.8422429020703093</c:v>
                </c:pt>
                <c:pt idx="740">
                  <c:v>1.8709120149350404</c:v>
                </c:pt>
                <c:pt idx="741">
                  <c:v>1.8744958901592095</c:v>
                </c:pt>
                <c:pt idx="742">
                  <c:v>1.8759373707950378</c:v>
                </c:pt>
                <c:pt idx="743">
                  <c:v>1.8894631576313721</c:v>
                </c:pt>
                <c:pt idx="744">
                  <c:v>1.8984827771838142</c:v>
                </c:pt>
                <c:pt idx="745">
                  <c:v>1.8826683569724985</c:v>
                </c:pt>
                <c:pt idx="746">
                  <c:v>1.8869412438168949</c:v>
                </c:pt>
                <c:pt idx="747">
                  <c:v>1.8983021481375855</c:v>
                </c:pt>
                <c:pt idx="748">
                  <c:v>1.92728448029885</c:v>
                </c:pt>
                <c:pt idx="749">
                  <c:v>1.931179282433942</c:v>
                </c:pt>
                <c:pt idx="750">
                  <c:v>1.9329294278954174</c:v>
                </c:pt>
                <c:pt idx="751">
                  <c:v>1.9467616475756924</c:v>
                </c:pt>
                <c:pt idx="752">
                  <c:v>1.956085497880415</c:v>
                </c:pt>
                <c:pt idx="753">
                  <c:v>1.9405722392858635</c:v>
                </c:pt>
                <c:pt idx="754">
                  <c:v>1.9451450620483164</c:v>
                </c:pt>
                <c:pt idx="755">
                  <c:v>1.9568037883765261</c:v>
                </c:pt>
                <c:pt idx="756">
                  <c:v>1.9860818575176649</c:v>
                </c:pt>
                <c:pt idx="757">
                  <c:v>1.990270340210633</c:v>
                </c:pt>
                <c:pt idx="758">
                  <c:v>1.9923121381268476</c:v>
                </c:pt>
                <c:pt idx="759">
                  <c:v>2.0064340101822493</c:v>
                </c:pt>
                <c:pt idx="760">
                  <c:v>2.0160455405030548</c:v>
                </c:pt>
                <c:pt idx="761">
                  <c:v>2.0008170117367587</c:v>
                </c:pt>
                <c:pt idx="762">
                  <c:v>2.0056736742949277</c:v>
                </c:pt>
                <c:pt idx="763">
                  <c:v>2.017614349177749</c:v>
                </c:pt>
                <c:pt idx="764">
                  <c:v>2.0471725020744369</c:v>
                </c:pt>
                <c:pt idx="765">
                  <c:v>2.0516392298375115</c:v>
                </c:pt>
                <c:pt idx="766">
                  <c:v>2.053957459920444</c:v>
                </c:pt>
                <c:pt idx="767">
                  <c:v>2.0683539766871277</c:v>
                </c:pt>
                <c:pt idx="768">
                  <c:v>2.0782383893756364</c:v>
                </c:pt>
                <c:pt idx="769">
                  <c:v>2.0632799263013211</c:v>
                </c:pt>
                <c:pt idx="770">
                  <c:v>2.0684060441843255</c:v>
                </c:pt>
                <c:pt idx="771">
                  <c:v>2.0806144851236219</c:v>
                </c:pt>
                <c:pt idx="772">
                  <c:v>2.1104387385624279</c:v>
                </c:pt>
                <c:pt idx="773">
                  <c:v>2.115169924768761</c:v>
                </c:pt>
                <c:pt idx="774">
                  <c:v>2.1177509942737087</c:v>
                </c:pt>
                <c:pt idx="775">
                  <c:v>2.1324087541818564</c:v>
                </c:pt>
                <c:pt idx="776">
                  <c:v>2.1425528361363262</c:v>
                </c:pt>
                <c:pt idx="777">
                  <c:v>2.1278513642697954</c:v>
                </c:pt>
                <c:pt idx="778">
                  <c:v>2.1332340936238463</c:v>
                </c:pt>
                <c:pt idx="779">
                  <c:v>2.1456976371016485</c:v>
                </c:pt>
                <c:pt idx="780">
                  <c:v>2.1757755052260954</c:v>
                </c:pt>
                <c:pt idx="781">
                  <c:v>2.1807588390197088</c:v>
                </c:pt>
                <c:pt idx="782">
                  <c:v>2.1835906094455719</c:v>
                </c:pt>
                <c:pt idx="783">
                  <c:v>2.1984976437205912</c:v>
                </c:pt>
                <c:pt idx="784">
                  <c:v>2.2088895932835113</c:v>
                </c:pt>
                <c:pt idx="785">
                  <c:v>2.1944334487697139</c:v>
                </c:pt>
                <c:pt idx="786">
                  <c:v>2.2000613143609229</c:v>
                </c:pt>
                <c:pt idx="787">
                  <c:v>2.2127686445361778</c:v>
                </c:pt>
                <c:pt idx="788">
                  <c:v>2.2430889683805848</c:v>
                </c:pt>
                <c:pt idx="789">
                  <c:v>2.2483134451790763</c:v>
                </c:pt>
                <c:pt idx="790">
                  <c:v>2.2513850638609663</c:v>
                </c:pt>
                <c:pt idx="791">
                  <c:v>2.2665306693168823</c:v>
                </c:pt>
                <c:pt idx="792">
                  <c:v>2.2771599303705261</c:v>
                </c:pt>
                <c:pt idx="793">
                  <c:v>2.262938690532017</c:v>
                </c:pt>
                <c:pt idx="794">
                  <c:v>2.2688014228560895</c:v>
                </c:pt>
                <c:pt idx="795">
                  <c:v>2.2817424102235933</c:v>
                </c:pt>
                <c:pt idx="796">
                  <c:v>2.3122951979899264</c:v>
                </c:pt>
                <c:pt idx="797">
                  <c:v>2.3177509614409075</c:v>
                </c:pt>
                <c:pt idx="798">
                  <c:v>2.3210527052412377</c:v>
                </c:pt>
                <c:pt idx="799">
                  <c:v>2.3364272897553571</c:v>
                </c:pt>
                <c:pt idx="800">
                  <c:v>2.3472843990231205</c:v>
                </c:pt>
                <c:pt idx="801">
                  <c:v>2.3332887276757823</c:v>
                </c:pt>
                <c:pt idx="802">
                  <c:v>2.3393771141281752</c:v>
                </c:pt>
                <c:pt idx="803">
                  <c:v>2.3525426686096482</c:v>
                </c:pt>
                <c:pt idx="804">
                  <c:v>2.3833189507031731</c:v>
                </c:pt>
                <c:pt idx="805">
                  <c:v>2.3889971496840152</c:v>
                </c:pt>
                <c:pt idx="806">
                  <c:v>2.3925202839720323</c:v>
                </c:pt>
                <c:pt idx="807">
                  <c:v>2.4081152274563462</c:v>
                </c:pt>
                <c:pt idx="808">
                  <c:v>2.4191916774748097</c:v>
                </c:pt>
                <c:pt idx="809">
                  <c:v>2.4054131869220745</c:v>
                </c:pt>
                <c:pt idx="810">
                  <c:v>2.4117189388660201</c:v>
                </c:pt>
                <c:pt idx="811">
                  <c:v>2.4251008788844226</c:v>
                </c:pt>
                <c:pt idx="812">
                  <c:v>2.4560925789921404</c:v>
                </c:pt>
                <c:pt idx="813">
                  <c:v>2.4619852406880947</c:v>
                </c:pt>
                <c:pt idx="814">
                  <c:v>2.4657218944111428</c:v>
                </c:pt>
                <c:pt idx="815">
                  <c:v>2.4815294258682812</c:v>
                </c:pt>
                <c:pt idx="816">
                  <c:v>2.4928175440176057</c:v>
                </c:pt>
                <c:pt idx="817">
                  <c:v>2.4792486737393471</c:v>
                </c:pt>
                <c:pt idx="818">
                  <c:v>2.4857643095075197</c:v>
                </c:pt>
                <c:pt idx="819">
                  <c:v>2.4993552469209694</c:v>
                </c:pt>
                <c:pt idx="820">
                  <c:v>2.5305550688619318</c:v>
                </c:pt>
                <c:pt idx="821">
                  <c:v>2.5366549875158615</c:v>
                </c:pt>
                <c:pt idx="822">
                  <c:v>2.5405980438305291</c:v>
                </c:pt>
                <c:pt idx="823">
                  <c:v>2.5566111338474</c:v>
                </c:pt>
                <c:pt idx="824">
                  <c:v>2.5681039766877198</c:v>
                </c:pt>
                <c:pt idx="825">
                  <c:v>2.5547378877255515</c:v>
                </c:pt>
                <c:pt idx="826">
                  <c:v>2.5614566306232289</c:v>
                </c:pt>
                <c:pt idx="827">
                  <c:v>2.5752498705059295</c:v>
                </c:pt>
                <c:pt idx="828">
                  <c:v>2.6066511997677848</c:v>
                </c:pt>
                <c:pt idx="829">
                  <c:v>2.6129518399497416</c:v>
                </c:pt>
                <c:pt idx="830">
                  <c:v>2.617094841201502</c:v>
                </c:pt>
                <c:pt idx="831">
                  <c:v>2.6333071086157025</c:v>
                </c:pt>
                <c:pt idx="832">
                  <c:v>2.6449983702167517</c:v>
                </c:pt>
                <c:pt idx="833">
                  <c:v>2.6318288537821442</c:v>
                </c:pt>
                <c:pt idx="834">
                  <c:v>2.6387445437029626</c:v>
                </c:pt>
                <c:pt idx="835">
                  <c:v>2.6527339975512092</c:v>
                </c:pt>
                <c:pt idx="836">
                  <c:v>2.6843308160623613</c:v>
                </c:pt>
                <c:pt idx="837">
                  <c:v>2.6908262289837452</c:v>
                </c:pt>
                <c:pt idx="838">
                  <c:v>2.6951632945389554</c:v>
                </c:pt>
                <c:pt idx="839">
                  <c:v>2.7115689257644657</c:v>
                </c:pt>
                <c:pt idx="840">
                  <c:v>2.723452858500865</c:v>
                </c:pt>
                <c:pt idx="841">
                  <c:v>2.7104742571746305</c:v>
                </c:pt>
                <c:pt idx="842">
                  <c:v>2.7175812742851075</c:v>
                </c:pt>
                <c:pt idx="843">
                  <c:v>2.7317613850987916</c:v>
                </c:pt>
                <c:pt idx="844">
                  <c:v>2.7635481976832628</c:v>
                </c:pt>
                <c:pt idx="845">
                  <c:v>2.7702329490015773</c:v>
                </c:pt>
                <c:pt idx="846">
                  <c:v>2.7747587043788302</c:v>
                </c:pt>
                <c:pt idx="847">
                  <c:v>2.7913523838408709</c:v>
                </c:pt>
                <c:pt idx="848">
                  <c:v>2.8034237301075962</c:v>
                </c:pt>
                <c:pt idx="849">
                  <c:v>2.790630870019184</c:v>
                </c:pt>
                <c:pt idx="850">
                  <c:v>2.7979240689828671</c:v>
                </c:pt>
                <c:pt idx="851">
                  <c:v>2.8122897467023553</c:v>
                </c:pt>
                <c:pt idx="852">
                  <c:v>2.8442615177074777</c:v>
                </c:pt>
                <c:pt idx="853">
                  <c:v>2.8511306253231812</c:v>
                </c:pt>
                <c:pt idx="854">
                  <c:v>2.8558401411379348</c:v>
                </c:pt>
                <c:pt idx="855">
                  <c:v>2.8726169913442492</c:v>
                </c:pt>
                <c:pt idx="856">
                  <c:v>2.884870924733745</c:v>
                </c:pt>
                <c:pt idx="857">
                  <c:v>2.8722590572206315</c:v>
                </c:pt>
                <c:pt idx="858">
                  <c:v>2.8797337105357013</c:v>
                </c:pt>
                <c:pt idx="859">
                  <c:v>2.8942802764240843</c:v>
                </c:pt>
                <c:pt idx="860">
                  <c:v>2.9264323751277339</c:v>
                </c:pt>
                <c:pt idx="861">
                  <c:v>2.9334812555970942</c:v>
                </c:pt>
                <c:pt idx="862">
                  <c:v>2.9383699949610804</c:v>
                </c:pt>
                <c:pt idx="863">
                  <c:v>2.9553255248691395</c:v>
                </c:pt>
                <c:pt idx="864">
                  <c:v>2.9677575994878369</c:v>
                </c:pt>
                <c:pt idx="865">
                  <c:v>2.9553223508878075</c:v>
                </c:pt>
                <c:pt idx="866">
                  <c:v>2.9629741000545424</c:v>
                </c:pt>
                <c:pt idx="867">
                  <c:v>2.9776972387605301</c:v>
                </c:pt>
                <c:pt idx="868">
                  <c:v>3.0100253923121967</c:v>
                </c:pt>
                <c:pt idx="869">
                  <c:v>3.0172498146495657</c:v>
                </c:pt>
                <c:pt idx="870">
                  <c:v>3.0223135878175889</c:v>
                </c:pt>
                <c:pt idx="871">
                  <c:v>3.0394436483095282</c:v>
                </c:pt>
                <c:pt idx="872">
                  <c:v>3.0520497550648287</c:v>
                </c:pt>
                <c:pt idx="873">
                  <c:v>3.0397870834578367</c:v>
                </c:pt>
                <c:pt idx="874">
                  <c:v>3.0476118968463926</c:v>
                </c:pt>
                <c:pt idx="875">
                  <c:v>3.0625076150374078</c:v>
                </c:pt>
                <c:pt idx="876">
                  <c:v>3.0950078678416411</c:v>
                </c:pt>
                <c:pt idx="877">
                  <c:v>3.1024039136385797</c:v>
                </c:pt>
                <c:pt idx="878">
                  <c:v>3.1076388388489216</c:v>
                </c:pt>
                <c:pt idx="879">
                  <c:v>3.1249395842790806</c:v>
                </c:pt>
                <c:pt idx="880">
                  <c:v>3.1377159131201724</c:v>
                </c:pt>
                <c:pt idx="881">
                  <c:v>3.1256220709954494</c:v>
                </c:pt>
                <c:pt idx="882">
                  <c:v>3.1336162074345859</c:v>
                </c:pt>
                <c:pt idx="883">
                  <c:v>3.1486807980386278</c:v>
                </c:pt>
                <c:pt idx="884">
                  <c:v>3.1813494766372084</c:v>
                </c:pt>
                <c:pt idx="885">
                  <c:v>3.1889135055723816</c:v>
                </c:pt>
                <c:pt idx="886">
                  <c:v>3.1943159751720764</c:v>
                </c:pt>
                <c:pt idx="887">
                  <c:v>3.2117838300955732</c:v>
                </c:pt>
                <c:pt idx="888">
                  <c:v>3.2247268373334279</c:v>
                </c:pt>
                <c:pt idx="889">
                  <c:v>3.2127983393038066</c:v>
                </c:pt>
                <c:pt idx="890">
                  <c:v>3.2209583165496483</c:v>
                </c:pt>
                <c:pt idx="891">
                  <c:v>3.2361883277812424</c:v>
                </c:pt>
                <c:pt idx="892">
                  <c:v>3.269022010425386</c:v>
                </c:pt>
                <c:pt idx="893">
                  <c:v>3.2767506303722844</c:v>
                </c:pt>
                <c:pt idx="894">
                  <c:v>3.282317281449858</c:v>
                </c:pt>
                <c:pt idx="895">
                  <c:v>3.299948911770032</c:v>
                </c:pt>
                <c:pt idx="896">
                  <c:v>3.3130552917294729</c:v>
                </c:pt>
                <c:pt idx="897">
                  <c:v>3.3012888865450245</c:v>
                </c:pt>
                <c:pt idx="898">
                  <c:v>3.309611453912495</c:v>
                </c:pt>
                <c:pt idx="899">
                  <c:v>3.3250036623796677</c:v>
                </c:pt>
                <c:pt idx="900">
                  <c:v>3.3579991526032247</c:v>
                </c:pt>
                <c:pt idx="901">
                  <c:v>3.365889193660502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F4-4DE0-80F1-07E67ED72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160975"/>
        <c:axId val="1349141775"/>
      </c:lineChart>
      <c:catAx>
        <c:axId val="134916097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41775"/>
        <c:crosses val="autoZero"/>
        <c:auto val="1"/>
        <c:lblAlgn val="ctr"/>
        <c:lblOffset val="100"/>
        <c:noMultiLvlLbl val="0"/>
      </c:catAx>
      <c:valAx>
        <c:axId val="134914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6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Payments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Projections!$G$1</c:f>
              <c:strCache>
                <c:ptCount val="1"/>
                <c:pt idx="0">
                  <c:v>Payments per date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Projections!$G$2:$G$903</c:f>
              <c:numCache>
                <c:formatCode>General</c:formatCode>
                <c:ptCount val="902"/>
                <c:pt idx="0">
                  <c:v>450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450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700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450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300</c:v>
                </c:pt>
                <c:pt idx="64">
                  <c:v>0</c:v>
                </c:pt>
                <c:pt idx="65">
                  <c:v>450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700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300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450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700</c:v>
                </c:pt>
                <c:pt idx="98">
                  <c:v>300</c:v>
                </c:pt>
                <c:pt idx="99">
                  <c:v>0</c:v>
                </c:pt>
                <c:pt idx="100">
                  <c:v>450</c:v>
                </c:pt>
                <c:pt idx="101">
                  <c:v>700</c:v>
                </c:pt>
                <c:pt idx="102">
                  <c:v>0</c:v>
                </c:pt>
                <c:pt idx="103">
                  <c:v>0</c:v>
                </c:pt>
                <c:pt idx="104">
                  <c:v>300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450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700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300</c:v>
                </c:pt>
                <c:pt idx="149">
                  <c:v>0</c:v>
                </c:pt>
                <c:pt idx="150">
                  <c:v>450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700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300</c:v>
                </c:pt>
                <c:pt idx="163">
                  <c:v>450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700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300</c:v>
                </c:pt>
                <c:pt idx="194">
                  <c:v>450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700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300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450</c:v>
                </c:pt>
                <c:pt idx="236">
                  <c:v>700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300</c:v>
                </c:pt>
                <c:pt idx="254">
                  <c:v>0</c:v>
                </c:pt>
                <c:pt idx="255">
                  <c:v>450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700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300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1150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300</c:v>
                </c:pt>
                <c:pt idx="301">
                  <c:v>0</c:v>
                </c:pt>
                <c:pt idx="302">
                  <c:v>450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700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300</c:v>
                </c:pt>
                <c:pt idx="336">
                  <c:v>0</c:v>
                </c:pt>
                <c:pt idx="337">
                  <c:v>450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700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300</c:v>
                </c:pt>
                <c:pt idx="353">
                  <c:v>0</c:v>
                </c:pt>
                <c:pt idx="354">
                  <c:v>0</c:v>
                </c:pt>
                <c:pt idx="355">
                  <c:v>450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700</c:v>
                </c:pt>
                <c:pt idx="383">
                  <c:v>0</c:v>
                </c:pt>
                <c:pt idx="384">
                  <c:v>0</c:v>
                </c:pt>
                <c:pt idx="385">
                  <c:v>300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450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700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300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1150</c:v>
                </c:pt>
                <c:pt idx="436">
                  <c:v>0</c:v>
                </c:pt>
                <c:pt idx="437">
                  <c:v>300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1150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300</c:v>
                </c:pt>
                <c:pt idx="453">
                  <c:v>450</c:v>
                </c:pt>
                <c:pt idx="454">
                  <c:v>0</c:v>
                </c:pt>
                <c:pt idx="455">
                  <c:v>700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300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450</c:v>
                </c:pt>
                <c:pt idx="466">
                  <c:v>0</c:v>
                </c:pt>
                <c:pt idx="467">
                  <c:v>700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300</c:v>
                </c:pt>
                <c:pt idx="472">
                  <c:v>1150</c:v>
                </c:pt>
                <c:pt idx="473">
                  <c:v>0</c:v>
                </c:pt>
                <c:pt idx="474">
                  <c:v>0</c:v>
                </c:pt>
                <c:pt idx="475">
                  <c:v>750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700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300</c:v>
                </c:pt>
                <c:pt idx="496">
                  <c:v>0</c:v>
                </c:pt>
                <c:pt idx="497">
                  <c:v>450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700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300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450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700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300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450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700</c:v>
                </c:pt>
                <c:pt idx="579">
                  <c:v>0</c:v>
                </c:pt>
                <c:pt idx="580">
                  <c:v>0</c:v>
                </c:pt>
                <c:pt idx="581">
                  <c:v>300</c:v>
                </c:pt>
                <c:pt idx="582">
                  <c:v>0</c:v>
                </c:pt>
                <c:pt idx="583">
                  <c:v>450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700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300</c:v>
                </c:pt>
                <c:pt idx="593">
                  <c:v>450</c:v>
                </c:pt>
                <c:pt idx="594">
                  <c:v>0</c:v>
                </c:pt>
                <c:pt idx="595">
                  <c:v>0</c:v>
                </c:pt>
                <c:pt idx="596">
                  <c:v>700</c:v>
                </c:pt>
                <c:pt idx="597">
                  <c:v>0</c:v>
                </c:pt>
                <c:pt idx="598">
                  <c:v>300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450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700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300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450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700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300</c:v>
                </c:pt>
                <c:pt idx="653">
                  <c:v>0</c:v>
                </c:pt>
                <c:pt idx="654">
                  <c:v>0</c:v>
                </c:pt>
                <c:pt idx="655">
                  <c:v>450</c:v>
                </c:pt>
                <c:pt idx="656">
                  <c:v>700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300</c:v>
                </c:pt>
                <c:pt idx="683">
                  <c:v>0</c:v>
                </c:pt>
                <c:pt idx="684">
                  <c:v>450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700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300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450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700</c:v>
                </c:pt>
                <c:pt idx="711">
                  <c:v>0</c:v>
                </c:pt>
                <c:pt idx="712">
                  <c:v>300</c:v>
                </c:pt>
                <c:pt idx="713">
                  <c:v>0</c:v>
                </c:pt>
                <c:pt idx="714">
                  <c:v>0</c:v>
                </c:pt>
                <c:pt idx="715">
                  <c:v>450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C-4D25-AD56-66DF38C5ADBA}"/>
            </c:ext>
          </c:extLst>
        </c:ser>
        <c:ser>
          <c:idx val="1"/>
          <c:order val="1"/>
          <c:tx>
            <c:strRef>
              <c:f>Projections!$H$1</c:f>
              <c:strCache>
                <c:ptCount val="1"/>
                <c:pt idx="0">
                  <c:v>Forecast(payments per date)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Projections!$F$2:$F$903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Projections!$H$2:$H$903</c:f>
              <c:numCache>
                <c:formatCode>General</c:formatCode>
                <c:ptCount val="902"/>
                <c:pt idx="720">
                  <c:v>700</c:v>
                </c:pt>
                <c:pt idx="721">
                  <c:v>700.03803261347014</c:v>
                </c:pt>
                <c:pt idx="722">
                  <c:v>700.07606522694061</c:v>
                </c:pt>
                <c:pt idx="723">
                  <c:v>700.11409784041075</c:v>
                </c:pt>
                <c:pt idx="724">
                  <c:v>700.15213045388123</c:v>
                </c:pt>
                <c:pt idx="725">
                  <c:v>700.19016306735136</c:v>
                </c:pt>
                <c:pt idx="726">
                  <c:v>700.22819568082184</c:v>
                </c:pt>
                <c:pt idx="727">
                  <c:v>700.26622829429198</c:v>
                </c:pt>
                <c:pt idx="728">
                  <c:v>700.30426090776245</c:v>
                </c:pt>
                <c:pt idx="729">
                  <c:v>700.34229352123259</c:v>
                </c:pt>
                <c:pt idx="730">
                  <c:v>700.38032613470318</c:v>
                </c:pt>
                <c:pt idx="731">
                  <c:v>700.4183587481732</c:v>
                </c:pt>
                <c:pt idx="732">
                  <c:v>700.4563913616438</c:v>
                </c:pt>
                <c:pt idx="733">
                  <c:v>700.49442397511382</c:v>
                </c:pt>
                <c:pt idx="734">
                  <c:v>700.53245658858441</c:v>
                </c:pt>
                <c:pt idx="735">
                  <c:v>700.57048920205443</c:v>
                </c:pt>
                <c:pt idx="736">
                  <c:v>700.60852181552502</c:v>
                </c:pt>
                <c:pt idx="737">
                  <c:v>700.64655442899505</c:v>
                </c:pt>
                <c:pt idx="738">
                  <c:v>700.68458704246564</c:v>
                </c:pt>
                <c:pt idx="739">
                  <c:v>700.72261965593577</c:v>
                </c:pt>
                <c:pt idx="740">
                  <c:v>700.76065226940625</c:v>
                </c:pt>
                <c:pt idx="741">
                  <c:v>700.79868488287639</c:v>
                </c:pt>
                <c:pt idx="742">
                  <c:v>700.83671749634686</c:v>
                </c:pt>
                <c:pt idx="743">
                  <c:v>700.874750109817</c:v>
                </c:pt>
                <c:pt idx="744">
                  <c:v>700.91278272328748</c:v>
                </c:pt>
                <c:pt idx="745">
                  <c:v>700.95081533675761</c:v>
                </c:pt>
                <c:pt idx="746">
                  <c:v>700.98884795022821</c:v>
                </c:pt>
                <c:pt idx="747">
                  <c:v>701.02688056369823</c:v>
                </c:pt>
                <c:pt idx="748">
                  <c:v>701.06491317716882</c:v>
                </c:pt>
                <c:pt idx="749">
                  <c:v>701.10294579063884</c:v>
                </c:pt>
                <c:pt idx="750">
                  <c:v>701.14097840410943</c:v>
                </c:pt>
                <c:pt idx="751">
                  <c:v>701.17901101757946</c:v>
                </c:pt>
                <c:pt idx="752">
                  <c:v>701.21704363105005</c:v>
                </c:pt>
                <c:pt idx="753">
                  <c:v>701.25507624452007</c:v>
                </c:pt>
                <c:pt idx="754">
                  <c:v>701.29310885799066</c:v>
                </c:pt>
                <c:pt idx="755">
                  <c:v>701.3311414714608</c:v>
                </c:pt>
                <c:pt idx="756">
                  <c:v>701.36917408493127</c:v>
                </c:pt>
                <c:pt idx="757">
                  <c:v>701.40720669840141</c:v>
                </c:pt>
                <c:pt idx="758">
                  <c:v>701.44523931187189</c:v>
                </c:pt>
                <c:pt idx="759">
                  <c:v>701.48327192534202</c:v>
                </c:pt>
                <c:pt idx="760">
                  <c:v>701.5213045388125</c:v>
                </c:pt>
                <c:pt idx="761">
                  <c:v>701.55933715228264</c:v>
                </c:pt>
                <c:pt idx="762">
                  <c:v>701.59736976575311</c:v>
                </c:pt>
                <c:pt idx="763">
                  <c:v>701.63540237922325</c:v>
                </c:pt>
                <c:pt idx="764">
                  <c:v>701.67343499269384</c:v>
                </c:pt>
                <c:pt idx="765">
                  <c:v>701.71146760616386</c:v>
                </c:pt>
                <c:pt idx="766">
                  <c:v>701.74950021963446</c:v>
                </c:pt>
                <c:pt idx="767">
                  <c:v>701.78753283310448</c:v>
                </c:pt>
                <c:pt idx="768">
                  <c:v>701.82556544657507</c:v>
                </c:pt>
                <c:pt idx="769">
                  <c:v>701.86359806004509</c:v>
                </c:pt>
                <c:pt idx="770">
                  <c:v>701.90163067351568</c:v>
                </c:pt>
                <c:pt idx="771">
                  <c:v>701.93966328698571</c:v>
                </c:pt>
                <c:pt idx="772">
                  <c:v>701.9776959004563</c:v>
                </c:pt>
                <c:pt idx="773">
                  <c:v>702.01572851392643</c:v>
                </c:pt>
                <c:pt idx="774">
                  <c:v>702.05376112739691</c:v>
                </c:pt>
                <c:pt idx="775">
                  <c:v>702.09179374086705</c:v>
                </c:pt>
                <c:pt idx="776">
                  <c:v>702.12982635433752</c:v>
                </c:pt>
                <c:pt idx="777">
                  <c:v>702.16785896780766</c:v>
                </c:pt>
                <c:pt idx="778">
                  <c:v>702.20589158127814</c:v>
                </c:pt>
                <c:pt idx="779">
                  <c:v>702.24392419474827</c:v>
                </c:pt>
                <c:pt idx="780">
                  <c:v>702.28195680821887</c:v>
                </c:pt>
                <c:pt idx="781">
                  <c:v>702.31998942168889</c:v>
                </c:pt>
                <c:pt idx="782">
                  <c:v>702.35802203515948</c:v>
                </c:pt>
                <c:pt idx="783">
                  <c:v>702.3960546486295</c:v>
                </c:pt>
                <c:pt idx="784">
                  <c:v>702.43408726210009</c:v>
                </c:pt>
                <c:pt idx="785">
                  <c:v>702.47211987557012</c:v>
                </c:pt>
                <c:pt idx="786">
                  <c:v>702.51015248904071</c:v>
                </c:pt>
                <c:pt idx="787">
                  <c:v>702.54818510251073</c:v>
                </c:pt>
                <c:pt idx="788">
                  <c:v>702.58621771598132</c:v>
                </c:pt>
                <c:pt idx="789">
                  <c:v>702.62425032945146</c:v>
                </c:pt>
                <c:pt idx="790">
                  <c:v>702.66228294292193</c:v>
                </c:pt>
                <c:pt idx="791">
                  <c:v>702.70031555639207</c:v>
                </c:pt>
                <c:pt idx="792">
                  <c:v>702.73834816986255</c:v>
                </c:pt>
                <c:pt idx="793">
                  <c:v>702.77638078333268</c:v>
                </c:pt>
                <c:pt idx="794">
                  <c:v>702.81441339680316</c:v>
                </c:pt>
                <c:pt idx="795">
                  <c:v>702.8524460102733</c:v>
                </c:pt>
                <c:pt idx="796">
                  <c:v>702.89047862374377</c:v>
                </c:pt>
                <c:pt idx="797">
                  <c:v>702.92851123721391</c:v>
                </c:pt>
                <c:pt idx="798">
                  <c:v>702.9665438506845</c:v>
                </c:pt>
                <c:pt idx="799">
                  <c:v>703.00457646415452</c:v>
                </c:pt>
                <c:pt idx="800">
                  <c:v>703.04260907762512</c:v>
                </c:pt>
                <c:pt idx="801">
                  <c:v>703.08064169109514</c:v>
                </c:pt>
                <c:pt idx="802">
                  <c:v>703.11867430456573</c:v>
                </c:pt>
                <c:pt idx="803">
                  <c:v>703.15670691803575</c:v>
                </c:pt>
                <c:pt idx="804">
                  <c:v>703.19473953150634</c:v>
                </c:pt>
                <c:pt idx="805">
                  <c:v>703.23277214497637</c:v>
                </c:pt>
                <c:pt idx="806">
                  <c:v>703.27080475844696</c:v>
                </c:pt>
                <c:pt idx="807">
                  <c:v>703.30883737191709</c:v>
                </c:pt>
                <c:pt idx="808">
                  <c:v>703.34686998538757</c:v>
                </c:pt>
                <c:pt idx="809">
                  <c:v>703.38490259885771</c:v>
                </c:pt>
                <c:pt idx="810">
                  <c:v>703.42293521232818</c:v>
                </c:pt>
                <c:pt idx="811">
                  <c:v>703.46096782579832</c:v>
                </c:pt>
                <c:pt idx="812">
                  <c:v>703.4990004392688</c:v>
                </c:pt>
                <c:pt idx="813">
                  <c:v>703.53703305273893</c:v>
                </c:pt>
                <c:pt idx="814">
                  <c:v>703.57506566620953</c:v>
                </c:pt>
                <c:pt idx="815">
                  <c:v>703.61309827967955</c:v>
                </c:pt>
                <c:pt idx="816">
                  <c:v>703.65113089315014</c:v>
                </c:pt>
                <c:pt idx="817">
                  <c:v>703.68916350662016</c:v>
                </c:pt>
                <c:pt idx="818">
                  <c:v>703.72719612009075</c:v>
                </c:pt>
                <c:pt idx="819">
                  <c:v>703.76522873356078</c:v>
                </c:pt>
                <c:pt idx="820">
                  <c:v>703.80326134703137</c:v>
                </c:pt>
                <c:pt idx="821">
                  <c:v>703.84129396050139</c:v>
                </c:pt>
                <c:pt idx="822">
                  <c:v>703.87932657397198</c:v>
                </c:pt>
                <c:pt idx="823">
                  <c:v>703.91735918744212</c:v>
                </c:pt>
                <c:pt idx="824">
                  <c:v>703.95539180091259</c:v>
                </c:pt>
                <c:pt idx="825">
                  <c:v>703.99342441438273</c:v>
                </c:pt>
                <c:pt idx="826">
                  <c:v>704.03145702785321</c:v>
                </c:pt>
                <c:pt idx="827">
                  <c:v>704.06948964132334</c:v>
                </c:pt>
                <c:pt idx="828">
                  <c:v>704.10752225479382</c:v>
                </c:pt>
                <c:pt idx="829">
                  <c:v>704.14555486826396</c:v>
                </c:pt>
                <c:pt idx="830">
                  <c:v>704.18358748173443</c:v>
                </c:pt>
                <c:pt idx="831">
                  <c:v>704.22162009520457</c:v>
                </c:pt>
                <c:pt idx="832">
                  <c:v>704.25965270867516</c:v>
                </c:pt>
                <c:pt idx="833">
                  <c:v>704.29768532214518</c:v>
                </c:pt>
                <c:pt idx="834">
                  <c:v>704.33571793561578</c:v>
                </c:pt>
                <c:pt idx="835">
                  <c:v>704.3737505490858</c:v>
                </c:pt>
                <c:pt idx="836">
                  <c:v>704.41178316255639</c:v>
                </c:pt>
                <c:pt idx="837">
                  <c:v>704.44981577602641</c:v>
                </c:pt>
                <c:pt idx="838">
                  <c:v>704.487848389497</c:v>
                </c:pt>
                <c:pt idx="839">
                  <c:v>704.52588100296703</c:v>
                </c:pt>
                <c:pt idx="840">
                  <c:v>704.56391361643762</c:v>
                </c:pt>
                <c:pt idx="841">
                  <c:v>704.60194622990775</c:v>
                </c:pt>
                <c:pt idx="842">
                  <c:v>704.63997884337823</c:v>
                </c:pt>
                <c:pt idx="843">
                  <c:v>704.67801145684837</c:v>
                </c:pt>
                <c:pt idx="844">
                  <c:v>704.71604407031884</c:v>
                </c:pt>
                <c:pt idx="845">
                  <c:v>704.75407668378898</c:v>
                </c:pt>
                <c:pt idx="846">
                  <c:v>704.79210929725946</c:v>
                </c:pt>
                <c:pt idx="847">
                  <c:v>704.83014191072959</c:v>
                </c:pt>
                <c:pt idx="848">
                  <c:v>704.86817452420007</c:v>
                </c:pt>
                <c:pt idx="849">
                  <c:v>704.90620713767021</c:v>
                </c:pt>
                <c:pt idx="850">
                  <c:v>704.9442397511408</c:v>
                </c:pt>
                <c:pt idx="851">
                  <c:v>704.98227236461082</c:v>
                </c:pt>
                <c:pt idx="852">
                  <c:v>705.02030497808141</c:v>
                </c:pt>
                <c:pt idx="853">
                  <c:v>705.05833759155144</c:v>
                </c:pt>
                <c:pt idx="854">
                  <c:v>705.09637020502203</c:v>
                </c:pt>
                <c:pt idx="855">
                  <c:v>705.13440281849205</c:v>
                </c:pt>
                <c:pt idx="856">
                  <c:v>705.17243543196264</c:v>
                </c:pt>
                <c:pt idx="857">
                  <c:v>705.21046804543278</c:v>
                </c:pt>
                <c:pt idx="858">
                  <c:v>705.24850065890325</c:v>
                </c:pt>
                <c:pt idx="859">
                  <c:v>705.28653327237339</c:v>
                </c:pt>
                <c:pt idx="860">
                  <c:v>705.32456588584387</c:v>
                </c:pt>
                <c:pt idx="861">
                  <c:v>705.362598499314</c:v>
                </c:pt>
                <c:pt idx="862">
                  <c:v>705.40063111278448</c:v>
                </c:pt>
                <c:pt idx="863">
                  <c:v>705.43866372625462</c:v>
                </c:pt>
                <c:pt idx="864">
                  <c:v>705.47669633972509</c:v>
                </c:pt>
                <c:pt idx="865">
                  <c:v>705.51472895319523</c:v>
                </c:pt>
                <c:pt idx="866">
                  <c:v>705.55276156666582</c:v>
                </c:pt>
                <c:pt idx="867">
                  <c:v>705.59079418013584</c:v>
                </c:pt>
                <c:pt idx="868">
                  <c:v>705.62882679360644</c:v>
                </c:pt>
                <c:pt idx="869">
                  <c:v>705.66685940707646</c:v>
                </c:pt>
                <c:pt idx="870">
                  <c:v>705.70489202054705</c:v>
                </c:pt>
                <c:pt idx="871">
                  <c:v>705.74292463401707</c:v>
                </c:pt>
                <c:pt idx="872">
                  <c:v>705.78095724748766</c:v>
                </c:pt>
                <c:pt idx="873">
                  <c:v>705.81898986095769</c:v>
                </c:pt>
                <c:pt idx="874">
                  <c:v>705.85702247442828</c:v>
                </c:pt>
                <c:pt idx="875">
                  <c:v>705.89505508789841</c:v>
                </c:pt>
                <c:pt idx="876">
                  <c:v>705.93308770136889</c:v>
                </c:pt>
                <c:pt idx="877">
                  <c:v>705.97112031483903</c:v>
                </c:pt>
                <c:pt idx="878">
                  <c:v>706.0091529283095</c:v>
                </c:pt>
                <c:pt idx="879">
                  <c:v>706.04718554177964</c:v>
                </c:pt>
                <c:pt idx="880">
                  <c:v>706.08521815525012</c:v>
                </c:pt>
                <c:pt idx="881">
                  <c:v>706.12325076872025</c:v>
                </c:pt>
                <c:pt idx="882">
                  <c:v>706.16128338219073</c:v>
                </c:pt>
                <c:pt idx="883">
                  <c:v>706.19931599566087</c:v>
                </c:pt>
                <c:pt idx="884">
                  <c:v>706.23734860913146</c:v>
                </c:pt>
                <c:pt idx="885">
                  <c:v>706.27538122260148</c:v>
                </c:pt>
                <c:pt idx="886">
                  <c:v>706.31341383607207</c:v>
                </c:pt>
                <c:pt idx="887">
                  <c:v>706.3514464495421</c:v>
                </c:pt>
                <c:pt idx="888">
                  <c:v>706.38947906301269</c:v>
                </c:pt>
                <c:pt idx="889">
                  <c:v>706.42751167648271</c:v>
                </c:pt>
                <c:pt idx="890">
                  <c:v>706.4655442899533</c:v>
                </c:pt>
                <c:pt idx="891">
                  <c:v>706.50357690342344</c:v>
                </c:pt>
                <c:pt idx="892">
                  <c:v>706.54160951689391</c:v>
                </c:pt>
                <c:pt idx="893">
                  <c:v>706.57964213036405</c:v>
                </c:pt>
                <c:pt idx="894">
                  <c:v>706.61767474383453</c:v>
                </c:pt>
                <c:pt idx="895">
                  <c:v>706.65570735730466</c:v>
                </c:pt>
                <c:pt idx="896">
                  <c:v>706.69373997077514</c:v>
                </c:pt>
                <c:pt idx="897">
                  <c:v>706.73177258424528</c:v>
                </c:pt>
                <c:pt idx="898">
                  <c:v>706.76980519771575</c:v>
                </c:pt>
                <c:pt idx="899">
                  <c:v>706.80783781118589</c:v>
                </c:pt>
                <c:pt idx="900">
                  <c:v>706.84587042465648</c:v>
                </c:pt>
                <c:pt idx="901">
                  <c:v>706.8839030381265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C-4D25-AD56-66DF38C5ADBA}"/>
            </c:ext>
          </c:extLst>
        </c:ser>
        <c:ser>
          <c:idx val="2"/>
          <c:order val="2"/>
          <c:tx>
            <c:strRef>
              <c:f>Projections!$I$1</c:f>
              <c:strCache>
                <c:ptCount val="1"/>
                <c:pt idx="0">
                  <c:v>Limite de Confiança Inferior(Sum of payments per date)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Projections!$I$2:$I$903</c:f>
              <c:numCache>
                <c:formatCode>0.00</c:formatCode>
                <c:ptCount val="902"/>
                <c:pt idx="720">
                  <c:v>700</c:v>
                </c:pt>
                <c:pt idx="721">
                  <c:v>313.47313829120526</c:v>
                </c:pt>
                <c:pt idx="722">
                  <c:v>310.40618829955696</c:v>
                </c:pt>
                <c:pt idx="723">
                  <c:v>307.31527692404256</c:v>
                </c:pt>
                <c:pt idx="724">
                  <c:v>304.20059481690572</c:v>
                </c:pt>
                <c:pt idx="725">
                  <c:v>301.0623308764512</c:v>
                </c:pt>
                <c:pt idx="726">
                  <c:v>297.90067220460099</c:v>
                </c:pt>
                <c:pt idx="727">
                  <c:v>294.71580406887091</c:v>
                </c:pt>
                <c:pt idx="728">
                  <c:v>291.5079098685531</c:v>
                </c:pt>
                <c:pt idx="729">
                  <c:v>288.27717110487913</c:v>
                </c:pt>
                <c:pt idx="730">
                  <c:v>285.02376735496046</c:v>
                </c:pt>
                <c:pt idx="731">
                  <c:v>281.74787624929456</c:v>
                </c:pt>
                <c:pt idx="732">
                  <c:v>278.44967345264951</c:v>
                </c:pt>
                <c:pt idx="733">
                  <c:v>275.12933264812472</c:v>
                </c:pt>
                <c:pt idx="734">
                  <c:v>271.78702552421987</c:v>
                </c:pt>
                <c:pt idx="735">
                  <c:v>268.42292176471886</c:v>
                </c:pt>
                <c:pt idx="736">
                  <c:v>265.03718904123764</c:v>
                </c:pt>
                <c:pt idx="737">
                  <c:v>261.6299930082551</c:v>
                </c:pt>
                <c:pt idx="738">
                  <c:v>258.20149730048968</c:v>
                </c:pt>
                <c:pt idx="739">
                  <c:v>254.75186353245437</c:v>
                </c:pt>
                <c:pt idx="740">
                  <c:v>251.28125130006504</c:v>
                </c:pt>
                <c:pt idx="741">
                  <c:v>247.7898181841494</c:v>
                </c:pt>
                <c:pt idx="742">
                  <c:v>244.27771975574143</c:v>
                </c:pt>
                <c:pt idx="743">
                  <c:v>240.74510958302318</c:v>
                </c:pt>
                <c:pt idx="744">
                  <c:v>237.19213923980942</c:v>
                </c:pt>
                <c:pt idx="745">
                  <c:v>233.61895831544928</c:v>
                </c:pt>
                <c:pt idx="746">
                  <c:v>230.02571442605046</c:v>
                </c:pt>
                <c:pt idx="747">
                  <c:v>226.41255322691239</c:v>
                </c:pt>
                <c:pt idx="748">
                  <c:v>222.77961842608499</c:v>
                </c:pt>
                <c:pt idx="749">
                  <c:v>219.12705179894556</c:v>
                </c:pt>
                <c:pt idx="750">
                  <c:v>215.45499320372585</c:v>
                </c:pt>
                <c:pt idx="751">
                  <c:v>211.76358059788788</c:v>
                </c:pt>
                <c:pt idx="752">
                  <c:v>208.05295005528984</c:v>
                </c:pt>
                <c:pt idx="753">
                  <c:v>204.32323578405004</c:v>
                </c:pt>
                <c:pt idx="754">
                  <c:v>200.57457014505923</c:v>
                </c:pt>
                <c:pt idx="755">
                  <c:v>196.80708367105569</c:v>
                </c:pt>
                <c:pt idx="756">
                  <c:v>193.02090508622194</c:v>
                </c:pt>
                <c:pt idx="757">
                  <c:v>189.21616132622626</c:v>
                </c:pt>
                <c:pt idx="758">
                  <c:v>185.3929775586713</c:v>
                </c:pt>
                <c:pt idx="759">
                  <c:v>181.55147720388447</c:v>
                </c:pt>
                <c:pt idx="760">
                  <c:v>177.69178195601376</c:v>
                </c:pt>
                <c:pt idx="761">
                  <c:v>173.81401180437433</c:v>
                </c:pt>
                <c:pt idx="762">
                  <c:v>169.91828505501212</c:v>
                </c:pt>
                <c:pt idx="763">
                  <c:v>166.00471835243673</c:v>
                </c:pt>
                <c:pt idx="764">
                  <c:v>162.07342670149671</c:v>
                </c:pt>
                <c:pt idx="765">
                  <c:v>158.12452348934937</c:v>
                </c:pt>
                <c:pt idx="766">
                  <c:v>154.15812050750935</c:v>
                </c:pt>
                <c:pt idx="767">
                  <c:v>150.17432797392871</c:v>
                </c:pt>
                <c:pt idx="768">
                  <c:v>146.1732545550982</c:v>
                </c:pt>
                <c:pt idx="769">
                  <c:v>142.15500738812557</c:v>
                </c:pt>
                <c:pt idx="770">
                  <c:v>138.11969210278676</c:v>
                </c:pt>
                <c:pt idx="771">
                  <c:v>134.06741284350562</c:v>
                </c:pt>
                <c:pt idx="772">
                  <c:v>129.99827229126618</c:v>
                </c:pt>
                <c:pt idx="773">
                  <c:v>125.91237168541375</c:v>
                </c:pt>
                <c:pt idx="774">
                  <c:v>121.80981084534938</c:v>
                </c:pt>
                <c:pt idx="775">
                  <c:v>117.69068819208348</c:v>
                </c:pt>
                <c:pt idx="776">
                  <c:v>113.55510076964902</c:v>
                </c:pt>
                <c:pt idx="777">
                  <c:v>109.40314426634802</c:v>
                </c:pt>
                <c:pt idx="778">
                  <c:v>105.23491303583</c:v>
                </c:pt>
                <c:pt idx="779">
                  <c:v>101.05050011798096</c:v>
                </c:pt>
                <c:pt idx="780">
                  <c:v>96.849997259624047</c:v>
                </c:pt>
                <c:pt idx="781">
                  <c:v>92.63349493500948</c:v>
                </c:pt>
                <c:pt idx="782">
                  <c:v>88.401082366100923</c:v>
                </c:pt>
                <c:pt idx="783">
                  <c:v>84.152847542633822</c:v>
                </c:pt>
                <c:pt idx="784">
                  <c:v>79.888877241956948</c:v>
                </c:pt>
                <c:pt idx="785">
                  <c:v>75.609257048633935</c:v>
                </c:pt>
                <c:pt idx="786">
                  <c:v>71.314071373816773</c:v>
                </c:pt>
                <c:pt idx="787">
                  <c:v>67.003403474369634</c:v>
                </c:pt>
                <c:pt idx="788">
                  <c:v>62.677335471756919</c:v>
                </c:pt>
                <c:pt idx="789">
                  <c:v>58.335948370673691</c:v>
                </c:pt>
                <c:pt idx="790">
                  <c:v>53.979322077435768</c:v>
                </c:pt>
                <c:pt idx="791">
                  <c:v>49.607535418107432</c:v>
                </c:pt>
                <c:pt idx="792">
                  <c:v>45.220666156382435</c:v>
                </c:pt>
                <c:pt idx="793">
                  <c:v>40.818791011202734</c:v>
                </c:pt>
                <c:pt idx="794">
                  <c:v>36.401985674126649</c:v>
                </c:pt>
                <c:pt idx="795">
                  <c:v>31.970324826434648</c:v>
                </c:pt>
                <c:pt idx="796">
                  <c:v>27.523882155981937</c:v>
                </c:pt>
                <c:pt idx="797">
                  <c:v>23.062730373790828</c:v>
                </c:pt>
                <c:pt idx="798">
                  <c:v>18.586941230390266</c:v>
                </c:pt>
                <c:pt idx="799">
                  <c:v>14.09658553189422</c:v>
                </c:pt>
                <c:pt idx="800">
                  <c:v>9.591733155832344</c:v>
                </c:pt>
                <c:pt idx="801">
                  <c:v>5.0724530667197314</c:v>
                </c:pt>
                <c:pt idx="802">
                  <c:v>0.53881333138201626</c:v>
                </c:pt>
                <c:pt idx="803">
                  <c:v>-4.0091188659783938</c:v>
                </c:pt>
                <c:pt idx="804">
                  <c:v>-8.5712772089543705</c:v>
                </c:pt>
                <c:pt idx="805">
                  <c:v>-13.147596234363618</c:v>
                </c:pt>
                <c:pt idx="806">
                  <c:v>-17.738011317912196</c:v>
                </c:pt>
                <c:pt idx="807">
                  <c:v>-22.342458660108832</c:v>
                </c:pt>
                <c:pt idx="808">
                  <c:v>-26.96087527241275</c:v>
                </c:pt>
                <c:pt idx="809">
                  <c:v>-31.593198963622399</c:v>
                </c:pt>
                <c:pt idx="810">
                  <c:v>-36.239368326495764</c:v>
                </c:pt>
                <c:pt idx="811">
                  <c:v>-40.899322724606805</c:v>
                </c:pt>
                <c:pt idx="812">
                  <c:v>-45.573002279425282</c:v>
                </c:pt>
                <c:pt idx="813">
                  <c:v>-50.260347857628176</c:v>
                </c:pt>
                <c:pt idx="814">
                  <c:v>-54.961301058629942</c:v>
                </c:pt>
                <c:pt idx="815">
                  <c:v>-59.675804202338441</c:v>
                </c:pt>
                <c:pt idx="816">
                  <c:v>-64.40380031712084</c:v>
                </c:pt>
                <c:pt idx="817">
                  <c:v>-69.145233127993492</c:v>
                </c:pt>
                <c:pt idx="818">
                  <c:v>-73.900047045012116</c:v>
                </c:pt>
                <c:pt idx="819">
                  <c:v>-78.668187151881398</c:v>
                </c:pt>
                <c:pt idx="820">
                  <c:v>-83.449599194759116</c:v>
                </c:pt>
                <c:pt idx="821">
                  <c:v>-88.244229571272967</c:v>
                </c:pt>
                <c:pt idx="822">
                  <c:v>-93.052025319725317</c:v>
                </c:pt>
                <c:pt idx="823">
                  <c:v>-97.872934108504296</c:v>
                </c:pt>
                <c:pt idx="824">
                  <c:v>-102.70690422567804</c:v>
                </c:pt>
                <c:pt idx="825">
                  <c:v>-107.55388456878745</c:v>
                </c:pt>
                <c:pt idx="826">
                  <c:v>-112.41382463481716</c:v>
                </c:pt>
                <c:pt idx="827">
                  <c:v>-117.28667451035699</c:v>
                </c:pt>
                <c:pt idx="828">
                  <c:v>-122.17238486193776</c:v>
                </c:pt>
                <c:pt idx="829">
                  <c:v>-127.07090692655038</c:v>
                </c:pt>
                <c:pt idx="830">
                  <c:v>-131.98219250233308</c:v>
                </c:pt>
                <c:pt idx="831">
                  <c:v>-136.90619393943462</c:v>
                </c:pt>
                <c:pt idx="832">
                  <c:v>-141.8428641310428</c:v>
                </c:pt>
                <c:pt idx="833">
                  <c:v>-146.79215650458184</c:v>
                </c:pt>
                <c:pt idx="834">
                  <c:v>-151.75402501306553</c:v>
                </c:pt>
                <c:pt idx="835">
                  <c:v>-156.72842412661942</c:v>
                </c:pt>
                <c:pt idx="836">
                  <c:v>-161.71530882414868</c:v>
                </c:pt>
                <c:pt idx="837">
                  <c:v>-166.71463458517087</c:v>
                </c:pt>
                <c:pt idx="838">
                  <c:v>-171.72635738178951</c:v>
                </c:pt>
                <c:pt idx="839">
                  <c:v>-176.75043367082412</c:v>
                </c:pt>
                <c:pt idx="840">
                  <c:v>-181.78682038607906</c:v>
                </c:pt>
                <c:pt idx="841">
                  <c:v>-186.83547493076173</c:v>
                </c:pt>
                <c:pt idx="842">
                  <c:v>-191.89635517003353</c:v>
                </c:pt>
                <c:pt idx="843">
                  <c:v>-196.96941942370631</c:v>
                </c:pt>
                <c:pt idx="844">
                  <c:v>-202.05462645906573</c:v>
                </c:pt>
                <c:pt idx="845">
                  <c:v>-207.15193548383502</c:v>
                </c:pt>
                <c:pt idx="846">
                  <c:v>-212.26130613926057</c:v>
                </c:pt>
                <c:pt idx="847">
                  <c:v>-217.38269849333244</c:v>
                </c:pt>
                <c:pt idx="848">
                  <c:v>-222.51607303412379</c:v>
                </c:pt>
                <c:pt idx="849">
                  <c:v>-227.66139066325729</c:v>
                </c:pt>
                <c:pt idx="850">
                  <c:v>-232.81861268948853</c:v>
                </c:pt>
                <c:pt idx="851">
                  <c:v>-237.98770082241094</c:v>
                </c:pt>
                <c:pt idx="852">
                  <c:v>-243.16861716627068</c:v>
                </c:pt>
                <c:pt idx="853">
                  <c:v>-248.36132421390357</c:v>
                </c:pt>
                <c:pt idx="854">
                  <c:v>-253.56578484077272</c:v>
                </c:pt>
                <c:pt idx="855">
                  <c:v>-258.78196229912567</c:v>
                </c:pt>
                <c:pt idx="856">
                  <c:v>-264.00982021224934</c:v>
                </c:pt>
                <c:pt idx="857">
                  <c:v>-269.24932256883858</c:v>
                </c:pt>
                <c:pt idx="858">
                  <c:v>-274.50043371745789</c:v>
                </c:pt>
                <c:pt idx="859">
                  <c:v>-279.76311836111427</c:v>
                </c:pt>
                <c:pt idx="860">
                  <c:v>-285.03734155191933</c:v>
                </c:pt>
                <c:pt idx="861">
                  <c:v>-290.3230686858567</c:v>
                </c:pt>
                <c:pt idx="862">
                  <c:v>-295.62026549763675</c:v>
                </c:pt>
                <c:pt idx="863">
                  <c:v>-300.92889805565176</c:v>
                </c:pt>
                <c:pt idx="864">
                  <c:v>-306.24893275701595</c:v>
                </c:pt>
                <c:pt idx="865">
                  <c:v>-311.58033632270042</c:v>
                </c:pt>
                <c:pt idx="866">
                  <c:v>-316.92307579275064</c:v>
                </c:pt>
                <c:pt idx="867">
                  <c:v>-322.27711852159632</c:v>
                </c:pt>
                <c:pt idx="868">
                  <c:v>-327.64243217343812</c:v>
                </c:pt>
                <c:pt idx="869">
                  <c:v>-333.0189847177254</c:v>
                </c:pt>
                <c:pt idx="870">
                  <c:v>-338.40674442470504</c:v>
                </c:pt>
                <c:pt idx="871">
                  <c:v>-343.80567986106189</c:v>
                </c:pt>
                <c:pt idx="872">
                  <c:v>-349.21575988562392</c:v>
                </c:pt>
                <c:pt idx="873">
                  <c:v>-354.63695364515627</c:v>
                </c:pt>
                <c:pt idx="874">
                  <c:v>-360.06923057021936</c:v>
                </c:pt>
                <c:pt idx="875">
                  <c:v>-365.51256037110954</c:v>
                </c:pt>
                <c:pt idx="876">
                  <c:v>-370.96691303386285</c:v>
                </c:pt>
                <c:pt idx="877">
                  <c:v>-376.43225881633862</c:v>
                </c:pt>
                <c:pt idx="878">
                  <c:v>-381.90856824436378</c:v>
                </c:pt>
                <c:pt idx="879">
                  <c:v>-387.39581210795052</c:v>
                </c:pt>
                <c:pt idx="880">
                  <c:v>-392.89396145757757</c:v>
                </c:pt>
                <c:pt idx="881">
                  <c:v>-398.40298760053838</c:v>
                </c:pt>
                <c:pt idx="882">
                  <c:v>-403.9228620973513</c:v>
                </c:pt>
                <c:pt idx="883">
                  <c:v>-409.45355675823555</c:v>
                </c:pt>
                <c:pt idx="884">
                  <c:v>-414.99504363964274</c:v>
                </c:pt>
                <c:pt idx="885">
                  <c:v>-420.5472950408564</c:v>
                </c:pt>
                <c:pt idx="886">
                  <c:v>-426.11028350064237</c:v>
                </c:pt>
                <c:pt idx="887">
                  <c:v>-431.68398179396524</c:v>
                </c:pt>
                <c:pt idx="888">
                  <c:v>-437.26836292875305</c:v>
                </c:pt>
                <c:pt idx="889">
                  <c:v>-442.8634001427256</c:v>
                </c:pt>
                <c:pt idx="890">
                  <c:v>-448.46906690027015</c:v>
                </c:pt>
                <c:pt idx="891">
                  <c:v>-454.08533688937769</c:v>
                </c:pt>
                <c:pt idx="892">
                  <c:v>-459.71218401862393</c:v>
                </c:pt>
                <c:pt idx="893">
                  <c:v>-465.34958241420884</c:v>
                </c:pt>
                <c:pt idx="894">
                  <c:v>-470.99750641704111</c:v>
                </c:pt>
                <c:pt idx="895">
                  <c:v>-476.65593057987758</c:v>
                </c:pt>
                <c:pt idx="896">
                  <c:v>-482.32482966450266</c:v>
                </c:pt>
                <c:pt idx="897">
                  <c:v>-488.00417863896712</c:v>
                </c:pt>
                <c:pt idx="898">
                  <c:v>-493.69395267486004</c:v>
                </c:pt>
                <c:pt idx="899">
                  <c:v>-499.3941271446397</c:v>
                </c:pt>
                <c:pt idx="900">
                  <c:v>-505.10467761899793</c:v>
                </c:pt>
                <c:pt idx="901">
                  <c:v>-510.82557986427753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6C-4D25-AD56-66DF38C5ADBA}"/>
            </c:ext>
          </c:extLst>
        </c:ser>
        <c:ser>
          <c:idx val="3"/>
          <c:order val="3"/>
          <c:tx>
            <c:strRef>
              <c:f>Projections!$J$1</c:f>
              <c:strCache>
                <c:ptCount val="1"/>
                <c:pt idx="0">
                  <c:v>Limite de Confiança Superior(Sum of payments per date)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Projections!$J$2:$J$903</c:f>
              <c:numCache>
                <c:formatCode>0.00</c:formatCode>
                <c:ptCount val="902"/>
                <c:pt idx="720">
                  <c:v>700</c:v>
                </c:pt>
                <c:pt idx="721">
                  <c:v>1086.602926935735</c:v>
                </c:pt>
                <c:pt idx="722">
                  <c:v>1089.7459421543242</c:v>
                </c:pt>
                <c:pt idx="723">
                  <c:v>1092.9129187567789</c:v>
                </c:pt>
                <c:pt idx="724">
                  <c:v>1096.1036660908567</c:v>
                </c:pt>
                <c:pt idx="725">
                  <c:v>1099.3179952582516</c:v>
                </c:pt>
                <c:pt idx="726">
                  <c:v>1102.5557191570426</c:v>
                </c:pt>
                <c:pt idx="727">
                  <c:v>1105.816652519713</c:v>
                </c:pt>
                <c:pt idx="728">
                  <c:v>1109.1006119469719</c:v>
                </c:pt>
                <c:pt idx="729">
                  <c:v>1112.4074159375859</c:v>
                </c:pt>
                <c:pt idx="730">
                  <c:v>1115.7368849144459</c:v>
                </c:pt>
                <c:pt idx="731">
                  <c:v>1119.0888412470517</c:v>
                </c:pt>
                <c:pt idx="732">
                  <c:v>1122.4631092706381</c:v>
                </c:pt>
                <c:pt idx="733">
                  <c:v>1125.8595153021029</c:v>
                </c:pt>
                <c:pt idx="734">
                  <c:v>1129.2778876529489</c:v>
                </c:pt>
                <c:pt idx="735">
                  <c:v>1132.7180566393899</c:v>
                </c:pt>
                <c:pt idx="736">
                  <c:v>1136.1798545898123</c:v>
                </c:pt>
                <c:pt idx="737">
                  <c:v>1139.663115849735</c:v>
                </c:pt>
                <c:pt idx="738">
                  <c:v>1143.1676767844415</c:v>
                </c:pt>
                <c:pt idx="739">
                  <c:v>1146.6933757794172</c:v>
                </c:pt>
                <c:pt idx="740">
                  <c:v>1150.2400532387474</c:v>
                </c:pt>
                <c:pt idx="741">
                  <c:v>1153.8075515816033</c:v>
                </c:pt>
                <c:pt idx="742">
                  <c:v>1157.3957152369524</c:v>
                </c:pt>
                <c:pt idx="743">
                  <c:v>1161.0043906366109</c:v>
                </c:pt>
                <c:pt idx="744">
                  <c:v>1164.6334262067655</c:v>
                </c:pt>
                <c:pt idx="745">
                  <c:v>1168.2826723580661</c:v>
                </c:pt>
                <c:pt idx="746">
                  <c:v>1171.951981474406</c:v>
                </c:pt>
                <c:pt idx="747">
                  <c:v>1175.641207900484</c:v>
                </c:pt>
                <c:pt idx="748">
                  <c:v>1179.3502079282525</c:v>
                </c:pt>
                <c:pt idx="749">
                  <c:v>1183.0788397823321</c:v>
                </c:pt>
                <c:pt idx="750">
                  <c:v>1186.8269636044929</c:v>
                </c:pt>
                <c:pt idx="751">
                  <c:v>1190.5944414372711</c:v>
                </c:pt>
                <c:pt idx="752">
                  <c:v>1194.3811372068103</c:v>
                </c:pt>
                <c:pt idx="753">
                  <c:v>1198.1869167049902</c:v>
                </c:pt>
                <c:pt idx="754">
                  <c:v>1202.0116475709222</c:v>
                </c:pt>
                <c:pt idx="755">
                  <c:v>1205.8551992718658</c:v>
                </c:pt>
                <c:pt idx="756">
                  <c:v>1209.7174430836405</c:v>
                </c:pt>
                <c:pt idx="757">
                  <c:v>1213.5982520705766</c:v>
                </c:pt>
                <c:pt idx="758">
                  <c:v>1217.4975010650724</c:v>
                </c:pt>
                <c:pt idx="759">
                  <c:v>1221.4150666467995</c:v>
                </c:pt>
                <c:pt idx="760">
                  <c:v>1225.3508271216112</c:v>
                </c:pt>
                <c:pt idx="761">
                  <c:v>1229.3046625001909</c:v>
                </c:pt>
                <c:pt idx="762">
                  <c:v>1233.2764544764941</c:v>
                </c:pt>
                <c:pt idx="763">
                  <c:v>1237.2660864060099</c:v>
                </c:pt>
                <c:pt idx="764">
                  <c:v>1241.2734432838911</c:v>
                </c:pt>
                <c:pt idx="765">
                  <c:v>1245.2984117229785</c:v>
                </c:pt>
                <c:pt idx="766">
                  <c:v>1249.3408799317594</c:v>
                </c:pt>
                <c:pt idx="767">
                  <c:v>1253.4007376922802</c:v>
                </c:pt>
                <c:pt idx="768">
                  <c:v>1257.4778763380518</c:v>
                </c:pt>
                <c:pt idx="769">
                  <c:v>1261.5721887319646</c:v>
                </c:pt>
                <c:pt idx="770">
                  <c:v>1265.6835692442446</c:v>
                </c:pt>
                <c:pt idx="771">
                  <c:v>1269.8119137304657</c:v>
                </c:pt>
                <c:pt idx="772">
                  <c:v>1273.9571195096464</c:v>
                </c:pt>
                <c:pt idx="773">
                  <c:v>1278.1190853424391</c:v>
                </c:pt>
                <c:pt idx="774">
                  <c:v>1282.2977114094444</c:v>
                </c:pt>
                <c:pt idx="775">
                  <c:v>1286.4928992896507</c:v>
                </c:pt>
                <c:pt idx="776">
                  <c:v>1290.704551939026</c:v>
                </c:pt>
                <c:pt idx="777">
                  <c:v>1294.9325736692672</c:v>
                </c:pt>
                <c:pt idx="778">
                  <c:v>1299.1768701267263</c:v>
                </c:pt>
                <c:pt idx="779">
                  <c:v>1303.4373482715155</c:v>
                </c:pt>
                <c:pt idx="780">
                  <c:v>1307.7139163568136</c:v>
                </c:pt>
                <c:pt idx="781">
                  <c:v>1312.0064839083684</c:v>
                </c:pt>
                <c:pt idx="782">
                  <c:v>1316.3149617042181</c:v>
                </c:pt>
                <c:pt idx="783">
                  <c:v>1320.6392617546253</c:v>
                </c:pt>
                <c:pt idx="784">
                  <c:v>1324.9792972822434</c:v>
                </c:pt>
                <c:pt idx="785">
                  <c:v>1329.3349827025063</c:v>
                </c:pt>
                <c:pt idx="786">
                  <c:v>1333.7062336042645</c:v>
                </c:pt>
                <c:pt idx="787">
                  <c:v>1338.0929667306518</c:v>
                </c:pt>
                <c:pt idx="788">
                  <c:v>1342.4950999602056</c:v>
                </c:pt>
                <c:pt idx="789">
                  <c:v>1346.9125522882291</c:v>
                </c:pt>
                <c:pt idx="790">
                  <c:v>1351.3452438084082</c:v>
                </c:pt>
                <c:pt idx="791">
                  <c:v>1355.7930956946766</c:v>
                </c:pt>
                <c:pt idx="792">
                  <c:v>1360.2560301833428</c:v>
                </c:pt>
                <c:pt idx="793">
                  <c:v>1364.7339705554627</c:v>
                </c:pt>
                <c:pt idx="794">
                  <c:v>1369.2268411194796</c:v>
                </c:pt>
                <c:pt idx="795">
                  <c:v>1373.7345671941121</c:v>
                </c:pt>
                <c:pt idx="796">
                  <c:v>1378.2570750915056</c:v>
                </c:pt>
                <c:pt idx="797">
                  <c:v>1382.794292100637</c:v>
                </c:pt>
                <c:pt idx="798">
                  <c:v>1387.3461464709787</c:v>
                </c:pt>
                <c:pt idx="799">
                  <c:v>1391.9125673964149</c:v>
                </c:pt>
                <c:pt idx="800">
                  <c:v>1396.4934849994179</c:v>
                </c:pt>
                <c:pt idx="801">
                  <c:v>1401.0888303154707</c:v>
                </c:pt>
                <c:pt idx="802">
                  <c:v>1405.6985352777494</c:v>
                </c:pt>
                <c:pt idx="803">
                  <c:v>1410.32253270205</c:v>
                </c:pt>
                <c:pt idx="804">
                  <c:v>1414.9607562719671</c:v>
                </c:pt>
                <c:pt idx="805">
                  <c:v>1419.6131405243163</c:v>
                </c:pt>
                <c:pt idx="806">
                  <c:v>1424.2796208348061</c:v>
                </c:pt>
                <c:pt idx="807">
                  <c:v>1428.960133403943</c:v>
                </c:pt>
                <c:pt idx="808">
                  <c:v>1433.6546152431879</c:v>
                </c:pt>
                <c:pt idx="809">
                  <c:v>1438.3630041613378</c:v>
                </c:pt>
                <c:pt idx="810">
                  <c:v>1443.0852387511522</c:v>
                </c:pt>
                <c:pt idx="811">
                  <c:v>1447.8212583762033</c:v>
                </c:pt>
                <c:pt idx="812">
                  <c:v>1452.5710031579629</c:v>
                </c:pt>
                <c:pt idx="813">
                  <c:v>1457.334413963106</c:v>
                </c:pt>
                <c:pt idx="814">
                  <c:v>1462.111432391049</c:v>
                </c:pt>
                <c:pt idx="815">
                  <c:v>1466.9020007616975</c:v>
                </c:pt>
                <c:pt idx="816">
                  <c:v>1471.7060621034211</c:v>
                </c:pt>
                <c:pt idx="817">
                  <c:v>1476.5235601412337</c:v>
                </c:pt>
                <c:pt idx="818">
                  <c:v>1481.3544392851936</c:v>
                </c:pt>
                <c:pt idx="819">
                  <c:v>1486.1986446190031</c:v>
                </c:pt>
                <c:pt idx="820">
                  <c:v>1491.056121888822</c:v>
                </c:pt>
                <c:pt idx="821">
                  <c:v>1495.9268174922759</c:v>
                </c:pt>
                <c:pt idx="822">
                  <c:v>1500.8106784676693</c:v>
                </c:pt>
                <c:pt idx="823">
                  <c:v>1505.7076524833885</c:v>
                </c:pt>
                <c:pt idx="824">
                  <c:v>1510.6176878275032</c:v>
                </c:pt>
                <c:pt idx="825">
                  <c:v>1515.5407333975529</c:v>
                </c:pt>
                <c:pt idx="826">
                  <c:v>1520.4767386905237</c:v>
                </c:pt>
                <c:pt idx="827">
                  <c:v>1525.4256537930037</c:v>
                </c:pt>
                <c:pt idx="828">
                  <c:v>1530.3874293715253</c:v>
                </c:pt>
                <c:pt idx="829">
                  <c:v>1535.3620166630783</c:v>
                </c:pt>
                <c:pt idx="830">
                  <c:v>1540.3493674658021</c:v>
                </c:pt>
                <c:pt idx="831">
                  <c:v>1545.3494341298438</c:v>
                </c:pt>
                <c:pt idx="832">
                  <c:v>1550.362169548393</c:v>
                </c:pt>
                <c:pt idx="833">
                  <c:v>1555.3875271488723</c:v>
                </c:pt>
                <c:pt idx="834">
                  <c:v>1560.4254608842971</c:v>
                </c:pt>
                <c:pt idx="835">
                  <c:v>1565.4759252247909</c:v>
                </c:pt>
                <c:pt idx="836">
                  <c:v>1570.5388751492615</c:v>
                </c:pt>
                <c:pt idx="837">
                  <c:v>1575.6142661372237</c:v>
                </c:pt>
                <c:pt idx="838">
                  <c:v>1580.7020541607835</c:v>
                </c:pt>
                <c:pt idx="839">
                  <c:v>1585.8021956767582</c:v>
                </c:pt>
                <c:pt idx="840">
                  <c:v>1590.9146476189544</c:v>
                </c:pt>
                <c:pt idx="841">
                  <c:v>1596.0393673905774</c:v>
                </c:pt>
                <c:pt idx="842">
                  <c:v>1601.17631285679</c:v>
                </c:pt>
                <c:pt idx="843">
                  <c:v>1606.325442337403</c:v>
                </c:pt>
                <c:pt idx="844">
                  <c:v>1611.4867145997034</c:v>
                </c:pt>
                <c:pt idx="845">
                  <c:v>1616.6600888514131</c:v>
                </c:pt>
                <c:pt idx="846">
                  <c:v>1621.8455247337795</c:v>
                </c:pt>
                <c:pt idx="847">
                  <c:v>1627.0429823147915</c:v>
                </c:pt>
                <c:pt idx="848">
                  <c:v>1632.2524220825239</c:v>
                </c:pt>
                <c:pt idx="849">
                  <c:v>1637.4738049385978</c:v>
                </c:pt>
                <c:pt idx="850">
                  <c:v>1642.7070921917702</c:v>
                </c:pt>
                <c:pt idx="851">
                  <c:v>1647.9522455516326</c:v>
                </c:pt>
                <c:pt idx="852">
                  <c:v>1653.2092271224335</c:v>
                </c:pt>
                <c:pt idx="853">
                  <c:v>1658.4779993970064</c:v>
                </c:pt>
                <c:pt idx="854">
                  <c:v>1663.7585252508168</c:v>
                </c:pt>
                <c:pt idx="855">
                  <c:v>1669.0507679361099</c:v>
                </c:pt>
                <c:pt idx="856">
                  <c:v>1674.3546910761747</c:v>
                </c:pt>
                <c:pt idx="857">
                  <c:v>1679.6702586597041</c:v>
                </c:pt>
                <c:pt idx="858">
                  <c:v>1684.9974350352645</c:v>
                </c:pt>
                <c:pt idx="859">
                  <c:v>1690.336184905861</c:v>
                </c:pt>
                <c:pt idx="860">
                  <c:v>1695.6864733236071</c:v>
                </c:pt>
                <c:pt idx="861">
                  <c:v>1701.0482656844847</c:v>
                </c:pt>
                <c:pt idx="862">
                  <c:v>1706.4215277232056</c:v>
                </c:pt>
                <c:pt idx="863">
                  <c:v>1711.8062255081609</c:v>
                </c:pt>
                <c:pt idx="864">
                  <c:v>1717.2023254364663</c:v>
                </c:pt>
                <c:pt idx="865">
                  <c:v>1722.6097942290908</c:v>
                </c:pt>
                <c:pt idx="866">
                  <c:v>1728.0285989260824</c:v>
                </c:pt>
                <c:pt idx="867">
                  <c:v>1733.458706881868</c:v>
                </c:pt>
                <c:pt idx="868">
                  <c:v>1738.9000857606511</c:v>
                </c:pt>
                <c:pt idx="869">
                  <c:v>1744.3527035318784</c:v>
                </c:pt>
                <c:pt idx="870">
                  <c:v>1749.8165284657991</c:v>
                </c:pt>
                <c:pt idx="871">
                  <c:v>1755.291529129096</c:v>
                </c:pt>
                <c:pt idx="872">
                  <c:v>1760.7776743805994</c:v>
                </c:pt>
                <c:pt idx="873">
                  <c:v>1766.2749333670718</c:v>
                </c:pt>
                <c:pt idx="874">
                  <c:v>1771.7832755190759</c:v>
                </c:pt>
                <c:pt idx="875">
                  <c:v>1777.3026705469065</c:v>
                </c:pt>
                <c:pt idx="876">
                  <c:v>1782.8330884366005</c:v>
                </c:pt>
                <c:pt idx="877">
                  <c:v>1788.3744994460167</c:v>
                </c:pt>
                <c:pt idx="878">
                  <c:v>1793.9268741009828</c:v>
                </c:pt>
                <c:pt idx="879">
                  <c:v>1799.4901831915099</c:v>
                </c:pt>
                <c:pt idx="880">
                  <c:v>1805.0643977680779</c:v>
                </c:pt>
                <c:pt idx="881">
                  <c:v>1810.6494891379789</c:v>
                </c:pt>
                <c:pt idx="882">
                  <c:v>1816.2454288617328</c:v>
                </c:pt>
                <c:pt idx="883">
                  <c:v>1821.8521887495572</c:v>
                </c:pt>
                <c:pt idx="884">
                  <c:v>1827.4697408579057</c:v>
                </c:pt>
                <c:pt idx="885">
                  <c:v>1833.0980574860594</c:v>
                </c:pt>
                <c:pt idx="886">
                  <c:v>1838.7371111727866</c:v>
                </c:pt>
                <c:pt idx="887">
                  <c:v>1844.3868746930493</c:v>
                </c:pt>
                <c:pt idx="888">
                  <c:v>1850.0473210547784</c:v>
                </c:pt>
                <c:pt idx="889">
                  <c:v>1855.718423495691</c:v>
                </c:pt>
                <c:pt idx="890">
                  <c:v>1861.4001554801766</c:v>
                </c:pt>
                <c:pt idx="891">
                  <c:v>1867.0924906962246</c:v>
                </c:pt>
                <c:pt idx="892">
                  <c:v>1872.7954030524118</c:v>
                </c:pt>
                <c:pt idx="893">
                  <c:v>1878.5088666749371</c:v>
                </c:pt>
                <c:pt idx="894">
                  <c:v>1884.23285590471</c:v>
                </c:pt>
                <c:pt idx="895">
                  <c:v>1889.9673452944869</c:v>
                </c:pt>
                <c:pt idx="896">
                  <c:v>1895.7123096060529</c:v>
                </c:pt>
                <c:pt idx="897">
                  <c:v>1901.4677238074578</c:v>
                </c:pt>
                <c:pt idx="898">
                  <c:v>1907.2335630702914</c:v>
                </c:pt>
                <c:pt idx="899">
                  <c:v>1913.0098027670115</c:v>
                </c:pt>
                <c:pt idx="900">
                  <c:v>1918.796418468311</c:v>
                </c:pt>
                <c:pt idx="901">
                  <c:v>1924.5933859405304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6C-4D25-AD56-66DF38C5A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196975"/>
        <c:axId val="1349179215"/>
      </c:lineChart>
      <c:catAx>
        <c:axId val="134919697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79215"/>
        <c:crosses val="autoZero"/>
        <c:auto val="1"/>
        <c:lblAlgn val="ctr"/>
        <c:lblOffset val="100"/>
        <c:noMultiLvlLbl val="0"/>
      </c:catAx>
      <c:valAx>
        <c:axId val="13491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9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Registrations</a:t>
            </a:r>
            <a:r>
              <a:rPr lang="pt-PT" baseline="0"/>
              <a:t> Forecast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'Updated Projections'!$B$1</c:f>
              <c:strCache>
                <c:ptCount val="1"/>
                <c:pt idx="0">
                  <c:v>Count of Attendee 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'Updated Projections'!$B$2:$B$903</c:f>
              <c:numCache>
                <c:formatCode>General</c:formatCode>
                <c:ptCount val="90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2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</c:v>
                </c:pt>
                <c:pt idx="472">
                  <c:v>2</c:v>
                </c:pt>
                <c:pt idx="473">
                  <c:v>0</c:v>
                </c:pt>
                <c:pt idx="474">
                  <c:v>0</c:v>
                </c:pt>
                <c:pt idx="475">
                  <c:v>2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1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0</c:v>
                </c:pt>
                <c:pt idx="598">
                  <c:v>1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1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1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1</c:v>
                </c:pt>
                <c:pt idx="683">
                  <c:v>0</c:v>
                </c:pt>
                <c:pt idx="684">
                  <c:v>1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1</c:v>
                </c:pt>
                <c:pt idx="711">
                  <c:v>0</c:v>
                </c:pt>
                <c:pt idx="712">
                  <c:v>1</c:v>
                </c:pt>
                <c:pt idx="713">
                  <c:v>0</c:v>
                </c:pt>
                <c:pt idx="714">
                  <c:v>0</c:v>
                </c:pt>
                <c:pt idx="715">
                  <c:v>1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6-47EA-A23F-CC4F89A9C002}"/>
            </c:ext>
          </c:extLst>
        </c:ser>
        <c:ser>
          <c:idx val="1"/>
          <c:order val="1"/>
          <c:tx>
            <c:strRef>
              <c:f>'Updated Projections'!$C$1</c:f>
              <c:strCache>
                <c:ptCount val="1"/>
                <c:pt idx="0">
                  <c:v>Previsão(Count of Attendee ID)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'Updated Projections'!$A$2:$A$903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Projections'!$C$2:$C$903</c:f>
              <c:numCache>
                <c:formatCode>General</c:formatCode>
                <c:ptCount val="902"/>
                <c:pt idx="720">
                  <c:v>1</c:v>
                </c:pt>
                <c:pt idx="721">
                  <c:v>0.97711240227329776</c:v>
                </c:pt>
                <c:pt idx="722">
                  <c:v>0.97436704148568731</c:v>
                </c:pt>
                <c:pt idx="723">
                  <c:v>0.97867117214405153</c:v>
                </c:pt>
                <c:pt idx="724">
                  <c:v>1.0005584825747924</c:v>
                </c:pt>
                <c:pt idx="725">
                  <c:v>0.99732028914119353</c:v>
                </c:pt>
                <c:pt idx="726">
                  <c:v>0.9918997357234306</c:v>
                </c:pt>
                <c:pt idx="727">
                  <c:v>0.99852382007048679</c:v>
                </c:pt>
                <c:pt idx="728">
                  <c:v>1.0006023618064068</c:v>
                </c:pt>
                <c:pt idx="729">
                  <c:v>0.97771476407970448</c:v>
                </c:pt>
                <c:pt idx="730">
                  <c:v>0.97496940329209403</c:v>
                </c:pt>
                <c:pt idx="731">
                  <c:v>0.97927353395045813</c:v>
                </c:pt>
                <c:pt idx="732">
                  <c:v>1.001160844381199</c:v>
                </c:pt>
                <c:pt idx="733">
                  <c:v>0.99792265094760024</c:v>
                </c:pt>
                <c:pt idx="734">
                  <c:v>0.99250209752983731</c:v>
                </c:pt>
                <c:pt idx="735">
                  <c:v>0.9991261818768935</c:v>
                </c:pt>
                <c:pt idx="736">
                  <c:v>1.0012047236128134</c:v>
                </c:pt>
                <c:pt idx="737">
                  <c:v>0.97831712588611108</c:v>
                </c:pt>
                <c:pt idx="738">
                  <c:v>0.97557176509850063</c:v>
                </c:pt>
                <c:pt idx="739">
                  <c:v>0.97987589575686485</c:v>
                </c:pt>
                <c:pt idx="740">
                  <c:v>1.0017632061876058</c:v>
                </c:pt>
                <c:pt idx="741">
                  <c:v>0.99852501275400696</c:v>
                </c:pt>
                <c:pt idx="742">
                  <c:v>0.99310445933624403</c:v>
                </c:pt>
                <c:pt idx="743">
                  <c:v>0.99972854368330022</c:v>
                </c:pt>
                <c:pt idx="744">
                  <c:v>1.00180708541922</c:v>
                </c:pt>
                <c:pt idx="745">
                  <c:v>0.9789194876925178</c:v>
                </c:pt>
                <c:pt idx="746">
                  <c:v>0.97617412690490735</c:v>
                </c:pt>
                <c:pt idx="747">
                  <c:v>0.98047825756327156</c:v>
                </c:pt>
                <c:pt idx="748">
                  <c:v>1.0023655679940124</c:v>
                </c:pt>
                <c:pt idx="749">
                  <c:v>0.99912737456041367</c:v>
                </c:pt>
                <c:pt idx="750">
                  <c:v>0.99370682114265074</c:v>
                </c:pt>
                <c:pt idx="751">
                  <c:v>1.0003309054897069</c:v>
                </c:pt>
                <c:pt idx="752">
                  <c:v>1.0024094472256269</c:v>
                </c:pt>
                <c:pt idx="753">
                  <c:v>0.97952184949892451</c:v>
                </c:pt>
                <c:pt idx="754">
                  <c:v>0.97677648871131406</c:v>
                </c:pt>
                <c:pt idx="755">
                  <c:v>0.98108061936967828</c:v>
                </c:pt>
                <c:pt idx="756">
                  <c:v>1.0029679298004193</c:v>
                </c:pt>
                <c:pt idx="757">
                  <c:v>0.99972973636682028</c:v>
                </c:pt>
                <c:pt idx="758">
                  <c:v>0.99430918294905735</c:v>
                </c:pt>
                <c:pt idx="759">
                  <c:v>1.0009332672961135</c:v>
                </c:pt>
                <c:pt idx="760">
                  <c:v>1.0030118090320335</c:v>
                </c:pt>
                <c:pt idx="761">
                  <c:v>0.98012421130533123</c:v>
                </c:pt>
                <c:pt idx="762">
                  <c:v>0.97737885051772078</c:v>
                </c:pt>
                <c:pt idx="763">
                  <c:v>0.98168298117608499</c:v>
                </c:pt>
                <c:pt idx="764">
                  <c:v>1.0035702916068259</c:v>
                </c:pt>
                <c:pt idx="765">
                  <c:v>1.0003320981732271</c:v>
                </c:pt>
                <c:pt idx="766">
                  <c:v>0.99491154475546406</c:v>
                </c:pt>
                <c:pt idx="767">
                  <c:v>1.0015356291025204</c:v>
                </c:pt>
                <c:pt idx="768">
                  <c:v>1.0036141708384403</c:v>
                </c:pt>
                <c:pt idx="769">
                  <c:v>0.98072657311173794</c:v>
                </c:pt>
                <c:pt idx="770">
                  <c:v>0.97798121232412749</c:v>
                </c:pt>
                <c:pt idx="771">
                  <c:v>0.98228534298249159</c:v>
                </c:pt>
                <c:pt idx="772">
                  <c:v>1.0041726534132325</c:v>
                </c:pt>
                <c:pt idx="773">
                  <c:v>1.0009344599796337</c:v>
                </c:pt>
                <c:pt idx="774">
                  <c:v>0.99551390656187078</c:v>
                </c:pt>
                <c:pt idx="775">
                  <c:v>1.002137990908927</c:v>
                </c:pt>
                <c:pt idx="776">
                  <c:v>1.0042165326448469</c:v>
                </c:pt>
                <c:pt idx="777">
                  <c:v>0.98132893491814466</c:v>
                </c:pt>
                <c:pt idx="778">
                  <c:v>0.9785835741305341</c:v>
                </c:pt>
                <c:pt idx="779">
                  <c:v>0.98288770478889831</c:v>
                </c:pt>
                <c:pt idx="780">
                  <c:v>1.0047750152196393</c:v>
                </c:pt>
                <c:pt idx="781">
                  <c:v>1.0015368217860405</c:v>
                </c:pt>
                <c:pt idx="782">
                  <c:v>0.99611626836827749</c:v>
                </c:pt>
                <c:pt idx="783">
                  <c:v>1.0027403527153338</c:v>
                </c:pt>
                <c:pt idx="784">
                  <c:v>1.0048188944512535</c:v>
                </c:pt>
                <c:pt idx="785">
                  <c:v>0.98193129672455126</c:v>
                </c:pt>
                <c:pt idx="786">
                  <c:v>0.97918593593694081</c:v>
                </c:pt>
                <c:pt idx="787">
                  <c:v>0.98349006659530502</c:v>
                </c:pt>
                <c:pt idx="788">
                  <c:v>1.0053773770260459</c:v>
                </c:pt>
                <c:pt idx="789">
                  <c:v>1.0021391835924471</c:v>
                </c:pt>
                <c:pt idx="790">
                  <c:v>0.99671863017468421</c:v>
                </c:pt>
                <c:pt idx="791">
                  <c:v>1.0033427145217404</c:v>
                </c:pt>
                <c:pt idx="792">
                  <c:v>1.0054212562576603</c:v>
                </c:pt>
                <c:pt idx="793">
                  <c:v>0.98253365853095798</c:v>
                </c:pt>
                <c:pt idx="794">
                  <c:v>0.97978829774334752</c:v>
                </c:pt>
                <c:pt idx="795">
                  <c:v>0.98409242840171174</c:v>
                </c:pt>
                <c:pt idx="796">
                  <c:v>1.0059797388324527</c:v>
                </c:pt>
                <c:pt idx="797">
                  <c:v>1.002741545398854</c:v>
                </c:pt>
                <c:pt idx="798">
                  <c:v>0.99732099198109081</c:v>
                </c:pt>
                <c:pt idx="799">
                  <c:v>1.003945076328147</c:v>
                </c:pt>
                <c:pt idx="800">
                  <c:v>1.0060236180640669</c:v>
                </c:pt>
                <c:pt idx="801">
                  <c:v>0.98313602033736469</c:v>
                </c:pt>
                <c:pt idx="802">
                  <c:v>0.98039065954975424</c:v>
                </c:pt>
                <c:pt idx="803">
                  <c:v>0.98469479020811845</c:v>
                </c:pt>
                <c:pt idx="804">
                  <c:v>1.0065821006388593</c:v>
                </c:pt>
                <c:pt idx="805">
                  <c:v>1.0033439072052606</c:v>
                </c:pt>
                <c:pt idx="806">
                  <c:v>0.99792335378749752</c:v>
                </c:pt>
                <c:pt idx="807">
                  <c:v>1.0045474381345538</c:v>
                </c:pt>
                <c:pt idx="808">
                  <c:v>1.0066259798704738</c:v>
                </c:pt>
                <c:pt idx="809">
                  <c:v>0.98373838214377141</c:v>
                </c:pt>
                <c:pt idx="810">
                  <c:v>0.98099302135616095</c:v>
                </c:pt>
                <c:pt idx="811">
                  <c:v>0.98529715201452506</c:v>
                </c:pt>
                <c:pt idx="812">
                  <c:v>1.0071844624452659</c:v>
                </c:pt>
                <c:pt idx="813">
                  <c:v>1.0039462690116672</c:v>
                </c:pt>
                <c:pt idx="814">
                  <c:v>0.99852571559390424</c:v>
                </c:pt>
                <c:pt idx="815">
                  <c:v>1.0051497999409604</c:v>
                </c:pt>
                <c:pt idx="816">
                  <c:v>1.0072283416768804</c:v>
                </c:pt>
                <c:pt idx="817">
                  <c:v>0.98434074395017812</c:v>
                </c:pt>
                <c:pt idx="818">
                  <c:v>0.98159538316256756</c:v>
                </c:pt>
                <c:pt idx="819">
                  <c:v>0.98589951382093177</c:v>
                </c:pt>
                <c:pt idx="820">
                  <c:v>1.0077868242516728</c:v>
                </c:pt>
                <c:pt idx="821">
                  <c:v>1.004548630818074</c:v>
                </c:pt>
                <c:pt idx="822">
                  <c:v>0.99912807740031095</c:v>
                </c:pt>
                <c:pt idx="823">
                  <c:v>1.0057521617473673</c:v>
                </c:pt>
                <c:pt idx="824">
                  <c:v>1.007830703483287</c:v>
                </c:pt>
                <c:pt idx="825">
                  <c:v>0.98494310575658472</c:v>
                </c:pt>
                <c:pt idx="826">
                  <c:v>0.98219774496897427</c:v>
                </c:pt>
                <c:pt idx="827">
                  <c:v>0.98650187562733849</c:v>
                </c:pt>
                <c:pt idx="828">
                  <c:v>1.0083891860580794</c:v>
                </c:pt>
                <c:pt idx="829">
                  <c:v>1.0051509926244806</c:v>
                </c:pt>
                <c:pt idx="830">
                  <c:v>0.99973043920671767</c:v>
                </c:pt>
                <c:pt idx="831">
                  <c:v>1.0063545235537739</c:v>
                </c:pt>
                <c:pt idx="832">
                  <c:v>1.0084330652896938</c:v>
                </c:pt>
                <c:pt idx="833">
                  <c:v>0.98554546756299144</c:v>
                </c:pt>
                <c:pt idx="834">
                  <c:v>0.98280010677538099</c:v>
                </c:pt>
                <c:pt idx="835">
                  <c:v>0.9871042374337452</c:v>
                </c:pt>
                <c:pt idx="836">
                  <c:v>1.0089915478644862</c:v>
                </c:pt>
                <c:pt idx="837">
                  <c:v>1.0057533544308874</c:v>
                </c:pt>
                <c:pt idx="838">
                  <c:v>1.0003328010131243</c:v>
                </c:pt>
                <c:pt idx="839">
                  <c:v>1.0069568853601805</c:v>
                </c:pt>
                <c:pt idx="840">
                  <c:v>1.0090354270961004</c:v>
                </c:pt>
                <c:pt idx="841">
                  <c:v>0.98614782936939815</c:v>
                </c:pt>
                <c:pt idx="842">
                  <c:v>0.9834024685817877</c:v>
                </c:pt>
                <c:pt idx="843">
                  <c:v>0.98770659924015192</c:v>
                </c:pt>
                <c:pt idx="844">
                  <c:v>1.0095939096708928</c:v>
                </c:pt>
                <c:pt idx="845">
                  <c:v>1.006355716237294</c:v>
                </c:pt>
                <c:pt idx="846">
                  <c:v>1.0009351628195311</c:v>
                </c:pt>
                <c:pt idx="847">
                  <c:v>1.0075592471665873</c:v>
                </c:pt>
                <c:pt idx="848">
                  <c:v>1.0096377889025072</c:v>
                </c:pt>
                <c:pt idx="849">
                  <c:v>0.98675019117580487</c:v>
                </c:pt>
                <c:pt idx="850">
                  <c:v>0.98400483038819442</c:v>
                </c:pt>
                <c:pt idx="851">
                  <c:v>0.98830896104655852</c:v>
                </c:pt>
                <c:pt idx="852">
                  <c:v>1.0101962714772994</c:v>
                </c:pt>
                <c:pt idx="853">
                  <c:v>1.0069580780437006</c:v>
                </c:pt>
                <c:pt idx="854">
                  <c:v>1.0015375246259377</c:v>
                </c:pt>
                <c:pt idx="855">
                  <c:v>1.0081616089729939</c:v>
                </c:pt>
                <c:pt idx="856">
                  <c:v>1.0102401507089138</c:v>
                </c:pt>
                <c:pt idx="857">
                  <c:v>0.98735255298221158</c:v>
                </c:pt>
                <c:pt idx="858">
                  <c:v>0.98460719219460102</c:v>
                </c:pt>
                <c:pt idx="859">
                  <c:v>0.98891132285296535</c:v>
                </c:pt>
                <c:pt idx="860">
                  <c:v>1.0107986332837062</c:v>
                </c:pt>
                <c:pt idx="861">
                  <c:v>1.0075604398501072</c:v>
                </c:pt>
                <c:pt idx="862">
                  <c:v>1.0021398864323445</c:v>
                </c:pt>
                <c:pt idx="863">
                  <c:v>1.0087639707794005</c:v>
                </c:pt>
                <c:pt idx="864">
                  <c:v>1.0108425125153206</c:v>
                </c:pt>
                <c:pt idx="865">
                  <c:v>0.98795491478861819</c:v>
                </c:pt>
                <c:pt idx="866">
                  <c:v>0.98520955400100785</c:v>
                </c:pt>
                <c:pt idx="867">
                  <c:v>0.98951368465937195</c:v>
                </c:pt>
                <c:pt idx="868">
                  <c:v>1.0114009950901128</c:v>
                </c:pt>
                <c:pt idx="869">
                  <c:v>1.0081628016565141</c:v>
                </c:pt>
                <c:pt idx="870">
                  <c:v>1.0027422482387511</c:v>
                </c:pt>
                <c:pt idx="871">
                  <c:v>1.0093663325858073</c:v>
                </c:pt>
                <c:pt idx="872">
                  <c:v>1.0114448743217272</c:v>
                </c:pt>
                <c:pt idx="873">
                  <c:v>0.98855727659502501</c:v>
                </c:pt>
                <c:pt idx="874">
                  <c:v>0.98581191580741445</c:v>
                </c:pt>
                <c:pt idx="875">
                  <c:v>0.99011604646577855</c:v>
                </c:pt>
                <c:pt idx="876">
                  <c:v>1.0120033568965197</c:v>
                </c:pt>
                <c:pt idx="877">
                  <c:v>1.0087651634629207</c:v>
                </c:pt>
                <c:pt idx="878">
                  <c:v>1.003344610045158</c:v>
                </c:pt>
                <c:pt idx="879">
                  <c:v>1.0099686943922139</c:v>
                </c:pt>
                <c:pt idx="880">
                  <c:v>1.0120472361281341</c:v>
                </c:pt>
                <c:pt idx="881">
                  <c:v>0.98915963840143162</c:v>
                </c:pt>
                <c:pt idx="882">
                  <c:v>0.98641427761382106</c:v>
                </c:pt>
                <c:pt idx="883">
                  <c:v>0.99071840827218538</c:v>
                </c:pt>
                <c:pt idx="884">
                  <c:v>1.0126057187029263</c:v>
                </c:pt>
                <c:pt idx="885">
                  <c:v>1.0093675252693275</c:v>
                </c:pt>
                <c:pt idx="886">
                  <c:v>1.0039469718515646</c:v>
                </c:pt>
                <c:pt idx="887">
                  <c:v>1.0105710561986208</c:v>
                </c:pt>
                <c:pt idx="888">
                  <c:v>1.0126495979345407</c:v>
                </c:pt>
                <c:pt idx="889">
                  <c:v>0.98976200020783822</c:v>
                </c:pt>
                <c:pt idx="890">
                  <c:v>0.98701663942022788</c:v>
                </c:pt>
                <c:pt idx="891">
                  <c:v>0.99132077007859198</c:v>
                </c:pt>
                <c:pt idx="892">
                  <c:v>1.0132080805093331</c:v>
                </c:pt>
                <c:pt idx="893">
                  <c:v>1.0099698870757341</c:v>
                </c:pt>
                <c:pt idx="894">
                  <c:v>1.0045493336579714</c:v>
                </c:pt>
                <c:pt idx="895">
                  <c:v>1.0111734180050274</c:v>
                </c:pt>
                <c:pt idx="896">
                  <c:v>1.0132519597409473</c:v>
                </c:pt>
                <c:pt idx="897">
                  <c:v>0.99036436201424505</c:v>
                </c:pt>
                <c:pt idx="898">
                  <c:v>0.98761900122663449</c:v>
                </c:pt>
                <c:pt idx="899">
                  <c:v>0.99192313188499881</c:v>
                </c:pt>
                <c:pt idx="900">
                  <c:v>1.0138104423157397</c:v>
                </c:pt>
                <c:pt idx="901">
                  <c:v>1.0105722488821409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D6-47EA-A23F-CC4F89A9C002}"/>
            </c:ext>
          </c:extLst>
        </c:ser>
        <c:ser>
          <c:idx val="2"/>
          <c:order val="2"/>
          <c:tx>
            <c:strRef>
              <c:f>'Updated Projections'!$D$1</c:f>
              <c:strCache>
                <c:ptCount val="1"/>
                <c:pt idx="0">
                  <c:v>Limite de Confiança Inferior(Count of Attendee ID)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'Updated Projections'!$A$2:$A$903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Projections'!$D$2:$D$903</c:f>
              <c:numCache>
                <c:formatCode>0.00</c:formatCode>
                <c:ptCount val="902"/>
                <c:pt idx="720">
                  <c:v>1</c:v>
                </c:pt>
                <c:pt idx="721">
                  <c:v>0.22977314515153557</c:v>
                </c:pt>
                <c:pt idx="722">
                  <c:v>0.22102497493252604</c:v>
                </c:pt>
                <c:pt idx="723">
                  <c:v>0.21927997202845695</c:v>
                </c:pt>
                <c:pt idx="724">
                  <c:v>0.23507219335043039</c:v>
                </c:pt>
                <c:pt idx="725">
                  <c:v>0.22569332045557255</c:v>
                </c:pt>
                <c:pt idx="726">
                  <c:v>0.21408685894498369</c:v>
                </c:pt>
                <c:pt idx="727">
                  <c:v>0.21448016474214771</c:v>
                </c:pt>
                <c:pt idx="728">
                  <c:v>0.21028341203380341</c:v>
                </c:pt>
                <c:pt idx="729">
                  <c:v>0.18098206371145409</c:v>
                </c:pt>
                <c:pt idx="730">
                  <c:v>0.17187417276055994</c:v>
                </c:pt>
                <c:pt idx="731">
                  <c:v>0.16977229207649402</c:v>
                </c:pt>
                <c:pt idx="732">
                  <c:v>0.18521044959791844</c:v>
                </c:pt>
                <c:pt idx="733">
                  <c:v>0.17548029747294325</c:v>
                </c:pt>
                <c:pt idx="734">
                  <c:v>0.16352531151394156</c:v>
                </c:pt>
                <c:pt idx="735">
                  <c:v>0.16357281752973463</c:v>
                </c:pt>
                <c:pt idx="736">
                  <c:v>0.15903295931725159</c:v>
                </c:pt>
                <c:pt idx="737">
                  <c:v>0.12939170304274017</c:v>
                </c:pt>
                <c:pt idx="738">
                  <c:v>0.11994599028635022</c:v>
                </c:pt>
                <c:pt idx="739">
                  <c:v>0.11750888944342053</c:v>
                </c:pt>
                <c:pt idx="740">
                  <c:v>0.13261439744017134</c:v>
                </c:pt>
                <c:pt idx="741">
                  <c:v>0.12255413534880444</c:v>
                </c:pt>
                <c:pt idx="742">
                  <c:v>0.11027154787745042</c:v>
                </c:pt>
                <c:pt idx="743">
                  <c:v>0.10999392973522848</c:v>
                </c:pt>
                <c:pt idx="744">
                  <c:v>0.10513139365462587</c:v>
                </c:pt>
                <c:pt idx="745">
                  <c:v>7.5170618412537138E-2</c:v>
                </c:pt>
                <c:pt idx="746">
                  <c:v>6.5407009992919818E-2</c:v>
                </c:pt>
                <c:pt idx="747">
                  <c:v>6.2654366988957544E-2</c:v>
                </c:pt>
                <c:pt idx="748">
                  <c:v>7.7446655689174859E-2</c:v>
                </c:pt>
                <c:pt idx="749">
                  <c:v>6.7075466686885354E-2</c:v>
                </c:pt>
                <c:pt idx="750">
                  <c:v>5.4484214389883934E-2</c:v>
                </c:pt>
                <c:pt idx="751">
                  <c:v>5.3900163403721502E-2</c:v>
                </c:pt>
                <c:pt idx="752">
                  <c:v>4.8733396570838639E-2</c:v>
                </c:pt>
                <c:pt idx="753">
                  <c:v>1.8471459711985383E-2</c:v>
                </c:pt>
                <c:pt idx="754">
                  <c:v>8.4079153743116253E-3</c:v>
                </c:pt>
                <c:pt idx="755">
                  <c:v>5.3574503628305292E-3</c:v>
                </c:pt>
                <c:pt idx="756">
                  <c:v>1.9854002083173561E-2</c:v>
                </c:pt>
                <c:pt idx="757">
                  <c:v>9.1891325230075704E-3</c:v>
                </c:pt>
                <c:pt idx="758">
                  <c:v>-3.6937722287329056E-3</c:v>
                </c:pt>
                <c:pt idx="759">
                  <c:v>-4.5674755900222408E-3</c:v>
                </c:pt>
                <c:pt idx="760">
                  <c:v>-1.002192243898814E-2</c:v>
                </c:pt>
                <c:pt idx="761">
                  <c:v>-4.0568589126096288E-2</c:v>
                </c:pt>
                <c:pt idx="762">
                  <c:v>-5.0915973259486158E-2</c:v>
                </c:pt>
                <c:pt idx="763">
                  <c:v>-5.4248386825578754E-2</c:v>
                </c:pt>
                <c:pt idx="764">
                  <c:v>-4.0031918860785387E-2</c:v>
                </c:pt>
                <c:pt idx="765">
                  <c:v>-5.0975033491057031E-2</c:v>
                </c:pt>
                <c:pt idx="766">
                  <c:v>-6.4134370409515973E-2</c:v>
                </c:pt>
                <c:pt idx="767">
                  <c:v>-6.5282718482086777E-2</c:v>
                </c:pt>
                <c:pt idx="768">
                  <c:v>-7.1010047698755629E-2</c:v>
                </c:pt>
                <c:pt idx="769">
                  <c:v>-0.10182678007784529</c:v>
                </c:pt>
                <c:pt idx="770">
                  <c:v>-0.11244361953607063</c:v>
                </c:pt>
                <c:pt idx="771">
                  <c:v>-0.11604379915863849</c:v>
                </c:pt>
                <c:pt idx="772">
                  <c:v>-0.10209343173596297</c:v>
                </c:pt>
                <c:pt idx="773">
                  <c:v>-0.11330100480949379</c:v>
                </c:pt>
                <c:pt idx="774">
                  <c:v>-0.12672318114996695</c:v>
                </c:pt>
                <c:pt idx="775">
                  <c:v>-0.12813277236400267</c:v>
                </c:pt>
                <c:pt idx="776">
                  <c:v>-0.1341197708466324</c:v>
                </c:pt>
                <c:pt idx="777">
                  <c:v>-0.16519349443350584</c:v>
                </c:pt>
                <c:pt idx="778">
                  <c:v>-0.17606694536277823</c:v>
                </c:pt>
                <c:pt idx="779">
                  <c:v>-0.17992222752385179</c:v>
                </c:pt>
                <c:pt idx="780">
                  <c:v>-0.16622547478681704</c:v>
                </c:pt>
                <c:pt idx="781">
                  <c:v>-0.17768519544762751</c:v>
                </c:pt>
                <c:pt idx="782">
                  <c:v>-0.19135807270901706</c:v>
                </c:pt>
                <c:pt idx="783">
                  <c:v>-0.19301693828992361</c:v>
                </c:pt>
                <c:pt idx="784">
                  <c:v>-0.19925180438100454</c:v>
                </c:pt>
                <c:pt idx="785">
                  <c:v>-0.23057085532061161</c:v>
                </c:pt>
                <c:pt idx="786">
                  <c:v>-0.24168944248704105</c:v>
                </c:pt>
                <c:pt idx="787">
                  <c:v>-0.24578851134556801</c:v>
                </c:pt>
                <c:pt idx="788">
                  <c:v>-0.23233421432849299</c:v>
                </c:pt>
                <c:pt idx="789">
                  <c:v>-0.24403507799418223</c:v>
                </c:pt>
                <c:pt idx="790">
                  <c:v>-0.25794780351159763</c:v>
                </c:pt>
                <c:pt idx="791">
                  <c:v>-0.25984524027340128</c:v>
                </c:pt>
                <c:pt idx="792">
                  <c:v>-0.26631741785520546</c:v>
                </c:pt>
                <c:pt idx="793">
                  <c:v>-0.29787137347010118</c:v>
                </c:pt>
                <c:pt idx="794">
                  <c:v>-0.30922482736939438</c:v>
                </c:pt>
                <c:pt idx="795">
                  <c:v>-0.31355755342016967</c:v>
                </c:pt>
                <c:pt idx="796">
                  <c:v>-0.30033572032502076</c:v>
                </c:pt>
                <c:pt idx="797">
                  <c:v>-0.31226787064319961</c:v>
                </c:pt>
                <c:pt idx="798">
                  <c:v>-0.32641072127905635</c:v>
                </c:pt>
                <c:pt idx="799">
                  <c:v>-0.32853713709906285</c:v>
                </c:pt>
                <c:pt idx="800">
                  <c:v>-0.33523716289498662</c:v>
                </c:pt>
                <c:pt idx="801">
                  <c:v>-0.36701668700105272</c:v>
                </c:pt>
                <c:pt idx="802">
                  <c:v>-0.37859579502866647</c:v>
                </c:pt>
                <c:pt idx="803">
                  <c:v>-0.38315308819341132</c:v>
                </c:pt>
                <c:pt idx="804">
                  <c:v>-0.37015474942545468</c:v>
                </c:pt>
                <c:pt idx="805">
                  <c:v>-0.38230933527349409</c:v>
                </c:pt>
                <c:pt idx="806">
                  <c:v>-0.39667357639703715</c:v>
                </c:pt>
                <c:pt idx="807">
                  <c:v>-0.39902035118723855</c:v>
                </c:pt>
                <c:pt idx="808">
                  <c:v>-0.40593971773386217</c:v>
                </c:pt>
                <c:pt idx="809">
                  <c:v>-0.43793642263453181</c:v>
                </c:pt>
                <c:pt idx="810">
                  <c:v>-0.44973289615369805</c:v>
                </c:pt>
                <c:pt idx="811">
                  <c:v>-0.45450657485537249</c:v>
                </c:pt>
                <c:pt idx="812">
                  <c:v>-0.44172365410160874</c:v>
                </c:pt>
                <c:pt idx="813">
                  <c:v>-0.45409270266476054</c:v>
                </c:pt>
                <c:pt idx="814">
                  <c:v>-0.46867046322333406</c:v>
                </c:pt>
                <c:pt idx="815">
                  <c:v>-0.4712298259863601</c:v>
                </c:pt>
                <c:pt idx="816">
                  <c:v>-0.47836086066384476</c:v>
                </c:pt>
                <c:pt idx="817">
                  <c:v>-0.51056718583899086</c:v>
                </c:pt>
                <c:pt idx="818">
                  <c:v>-0.52257354318238447</c:v>
                </c:pt>
                <c:pt idx="819">
                  <c:v>-0.52755621927910601</c:v>
                </c:pt>
                <c:pt idx="820">
                  <c:v>-0.51498142035858607</c:v>
                </c:pt>
                <c:pt idx="821">
                  <c:v>-0.5275577258797135</c:v>
                </c:pt>
                <c:pt idx="822">
                  <c:v>-0.5423418890299071</c:v>
                </c:pt>
                <c:pt idx="823">
                  <c:v>-0.54510681035266551</c:v>
                </c:pt>
                <c:pt idx="824">
                  <c:v>-0.55244256972114614</c:v>
                </c:pt>
                <c:pt idx="825">
                  <c:v>-0.5848516762123821</c:v>
                </c:pt>
                <c:pt idx="826">
                  <c:v>-0.59706114068528016</c:v>
                </c:pt>
                <c:pt idx="827">
                  <c:v>-0.60224611925125249</c:v>
                </c:pt>
                <c:pt idx="828">
                  <c:v>-0.58987282765162585</c:v>
                </c:pt>
                <c:pt idx="829">
                  <c:v>-0.60264985470078014</c:v>
                </c:pt>
                <c:pt idx="830">
                  <c:v>-0.61763396278806693</c:v>
                </c:pt>
                <c:pt idx="831">
                  <c:v>-0.62059806150815477</c:v>
                </c:pt>
                <c:pt idx="832">
                  <c:v>-0.62813223963736409</c:v>
                </c:pt>
                <c:pt idx="833">
                  <c:v>-0.66073791865616116</c:v>
                </c:pt>
                <c:pt idx="834">
                  <c:v>-0.67314433015220076</c:v>
                </c:pt>
                <c:pt idx="835">
                  <c:v>-0.67852552268371868</c:v>
                </c:pt>
                <c:pt idx="836">
                  <c:v>-0.66634772033338896</c:v>
                </c:pt>
                <c:pt idx="837">
                  <c:v>-0.67931952012197061</c:v>
                </c:pt>
                <c:pt idx="838">
                  <c:v>-0.69449769251270688</c:v>
                </c:pt>
                <c:pt idx="839">
                  <c:v>-0.69765515504410502</c:v>
                </c:pt>
                <c:pt idx="840">
                  <c:v>-0.70538200430866427</c:v>
                </c:pt>
                <c:pt idx="841">
                  <c:v>-0.738178598435834</c:v>
                </c:pt>
                <c:pt idx="842">
                  <c:v>-0.75077633712153213</c:v>
                </c:pt>
                <c:pt idx="843">
                  <c:v>-0.75634818661848757</c:v>
                </c:pt>
                <c:pt idx="844">
                  <c:v>-0.74436037834147695</c:v>
                </c:pt>
                <c:pt idx="845">
                  <c:v>-0.75752151652698929</c:v>
                </c:pt>
                <c:pt idx="846">
                  <c:v>-0.77288837873976823</c:v>
                </c:pt>
                <c:pt idx="847">
                  <c:v>-0.77623388950769612</c:v>
                </c:pt>
                <c:pt idx="848">
                  <c:v>-0.7841481523025815</c:v>
                </c:pt>
                <c:pt idx="849">
                  <c:v>-0.81713048766757435</c:v>
                </c:pt>
                <c:pt idx="850">
                  <c:v>-0.8299144082064781</c:v>
                </c:pt>
                <c:pt idx="851">
                  <c:v>-0.83567182460923828</c:v>
                </c:pt>
                <c:pt idx="852">
                  <c:v>-0.8238689747528789</c:v>
                </c:pt>
                <c:pt idx="853">
                  <c:v>-0.83721446923577969</c:v>
                </c:pt>
                <c:pt idx="854">
                  <c:v>-0.8527650918860592</c:v>
                </c:pt>
                <c:pt idx="855">
                  <c:v>-0.85629377339826163</c:v>
                </c:pt>
                <c:pt idx="856">
                  <c:v>-0.86439062331591754</c:v>
                </c:pt>
                <c:pt idx="857">
                  <c:v>-0.89755395125620807</c:v>
                </c:pt>
                <c:pt idx="858">
                  <c:v>-0.91051932614649933</c:v>
                </c:pt>
                <c:pt idx="859">
                  <c:v>-0.91645763071815356</c:v>
                </c:pt>
                <c:pt idx="860">
                  <c:v>-0.90483510856032145</c:v>
                </c:pt>
                <c:pt idx="861">
                  <c:v>-0.91836037589687969</c:v>
                </c:pt>
                <c:pt idx="862">
                  <c:v>-0.93409022209639114</c:v>
                </c:pt>
                <c:pt idx="863">
                  <c:v>-0.93779758331033869</c:v>
                </c:pt>
                <c:pt idx="864">
                  <c:v>-0.94607257445719584</c:v>
                </c:pt>
                <c:pt idx="865">
                  <c:v>-0.97941252131057133</c:v>
                </c:pt>
                <c:pt idx="866">
                  <c:v>-0.99255499205252684</c:v>
                </c:pt>
                <c:pt idx="867">
                  <c:v>-0.99866986944178615</c:v>
                </c:pt>
                <c:pt idx="868">
                  <c:v>-0.9872234021319708</c:v>
                </c:pt>
                <c:pt idx="869">
                  <c:v>-1.0009242113365375</c:v>
                </c:pt>
                <c:pt idx="870">
                  <c:v>-1.0168290913400868</c:v>
                </c:pt>
                <c:pt idx="871">
                  <c:v>-1.0207109831379135</c:v>
                </c:pt>
                <c:pt idx="872">
                  <c:v>-1.0291600064213744</c:v>
                </c:pt>
                <c:pt idx="873">
                  <c:v>-1.0626725302677864</c:v>
                </c:pt>
                <c:pt idx="874">
                  <c:v>-1.0759880652315639</c:v>
                </c:pt>
                <c:pt idx="875">
                  <c:v>-1.0822755221058509</c:v>
                </c:pt>
                <c:pt idx="876">
                  <c:v>-1.0710011540486015</c:v>
                </c:pt>
                <c:pt idx="877">
                  <c:v>-1.0848735867127381</c:v>
                </c:pt>
                <c:pt idx="878">
                  <c:v>-1.1009496187586054</c:v>
                </c:pt>
                <c:pt idx="879">
                  <c:v>-1.105002195494653</c:v>
                </c:pt>
                <c:pt idx="880">
                  <c:v>-1.1136214408639045</c:v>
                </c:pt>
                <c:pt idx="881">
                  <c:v>-1.1473027941925862</c:v>
                </c:pt>
                <c:pt idx="882">
                  <c:v>-1.1607876522069436</c:v>
                </c:pt>
                <c:pt idx="883">
                  <c:v>-1.1672439814942568</c:v>
                </c:pt>
                <c:pt idx="884">
                  <c:v>-1.1561380392313558</c:v>
                </c:pt>
                <c:pt idx="885">
                  <c:v>-1.1701784550337269</c:v>
                </c:pt>
                <c:pt idx="886">
                  <c:v>-1.1864220314689473</c:v>
                </c:pt>
                <c:pt idx="887">
                  <c:v>-1.1906417176983319</c:v>
                </c:pt>
                <c:pt idx="888">
                  <c:v>-1.1994276414643466</c:v>
                </c:pt>
                <c:pt idx="889">
                  <c:v>-1.2332743388881304</c:v>
                </c:pt>
                <c:pt idx="890">
                  <c:v>-1.2469250377091923</c:v>
                </c:pt>
                <c:pt idx="891">
                  <c:v>-1.2535467876240585</c:v>
                </c:pt>
                <c:pt idx="892">
                  <c:v>-1.2426058494067198</c:v>
                </c:pt>
                <c:pt idx="893">
                  <c:v>-1.2568108562208162</c:v>
                </c:pt>
                <c:pt idx="894">
                  <c:v>-1.2732186141339152</c:v>
                </c:pt>
                <c:pt idx="895">
                  <c:v>-1.2776020757599773</c:v>
                </c:pt>
                <c:pt idx="896">
                  <c:v>-1.2865513722475785</c:v>
                </c:pt>
                <c:pt idx="897">
                  <c:v>-1.3205601625165346</c:v>
                </c:pt>
                <c:pt idx="898">
                  <c:v>-1.3343734514592263</c:v>
                </c:pt>
                <c:pt idx="899">
                  <c:v>-1.3411573986096701</c:v>
                </c:pt>
                <c:pt idx="900">
                  <c:v>-1.3303782679717451</c:v>
                </c:pt>
                <c:pt idx="901">
                  <c:v>-1.3447446958962201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D6-47EA-A23F-CC4F89A9C002}"/>
            </c:ext>
          </c:extLst>
        </c:ser>
        <c:ser>
          <c:idx val="3"/>
          <c:order val="3"/>
          <c:tx>
            <c:strRef>
              <c:f>'Updated Projections'!$E$1</c:f>
              <c:strCache>
                <c:ptCount val="1"/>
                <c:pt idx="0">
                  <c:v>Limite de Confiança Superior(Count of Attendee ID)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'Updated Projections'!$A$2:$A$903</c:f>
              <c:numCache>
                <c:formatCode>m/d/yy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Projections'!$E$2:$E$903</c:f>
              <c:numCache>
                <c:formatCode>0.00</c:formatCode>
                <c:ptCount val="902"/>
                <c:pt idx="720">
                  <c:v>1</c:v>
                </c:pt>
                <c:pt idx="721">
                  <c:v>1.7244516593950601</c:v>
                </c:pt>
                <c:pt idx="722">
                  <c:v>1.7277091080388485</c:v>
                </c:pt>
                <c:pt idx="723">
                  <c:v>1.738062372259646</c:v>
                </c:pt>
                <c:pt idx="724">
                  <c:v>1.7660447717991543</c:v>
                </c:pt>
                <c:pt idx="725">
                  <c:v>1.7689472578268144</c:v>
                </c:pt>
                <c:pt idx="726">
                  <c:v>1.7697126125018774</c:v>
                </c:pt>
                <c:pt idx="727">
                  <c:v>1.7825674753988259</c:v>
                </c:pt>
                <c:pt idx="728">
                  <c:v>1.7909213115790101</c:v>
                </c:pt>
                <c:pt idx="729">
                  <c:v>1.7744474644479549</c:v>
                </c:pt>
                <c:pt idx="730">
                  <c:v>1.7780646338236281</c:v>
                </c:pt>
                <c:pt idx="731">
                  <c:v>1.7887747758244221</c:v>
                </c:pt>
                <c:pt idx="732">
                  <c:v>1.8171112391644795</c:v>
                </c:pt>
                <c:pt idx="733">
                  <c:v>1.8203650044222572</c:v>
                </c:pt>
                <c:pt idx="734">
                  <c:v>1.821478883545733</c:v>
                </c:pt>
                <c:pt idx="735">
                  <c:v>1.8346795462240524</c:v>
                </c:pt>
                <c:pt idx="736">
                  <c:v>1.8433764879083752</c:v>
                </c:pt>
                <c:pt idx="737">
                  <c:v>1.8272425487294819</c:v>
                </c:pt>
                <c:pt idx="738">
                  <c:v>1.831197539910651</c:v>
                </c:pt>
                <c:pt idx="739">
                  <c:v>1.8422429020703093</c:v>
                </c:pt>
                <c:pt idx="740">
                  <c:v>1.8709120149350404</c:v>
                </c:pt>
                <c:pt idx="741">
                  <c:v>1.8744958901592095</c:v>
                </c:pt>
                <c:pt idx="742">
                  <c:v>1.8759373707950378</c:v>
                </c:pt>
                <c:pt idx="743">
                  <c:v>1.8894631576313721</c:v>
                </c:pt>
                <c:pt idx="744">
                  <c:v>1.8984827771838142</c:v>
                </c:pt>
                <c:pt idx="745">
                  <c:v>1.8826683569724985</c:v>
                </c:pt>
                <c:pt idx="746">
                  <c:v>1.8869412438168949</c:v>
                </c:pt>
                <c:pt idx="747">
                  <c:v>1.8983021481375855</c:v>
                </c:pt>
                <c:pt idx="748">
                  <c:v>1.92728448029885</c:v>
                </c:pt>
                <c:pt idx="749">
                  <c:v>1.931179282433942</c:v>
                </c:pt>
                <c:pt idx="750">
                  <c:v>1.9329294278954174</c:v>
                </c:pt>
                <c:pt idx="751">
                  <c:v>1.9467616475756924</c:v>
                </c:pt>
                <c:pt idx="752">
                  <c:v>1.956085497880415</c:v>
                </c:pt>
                <c:pt idx="753">
                  <c:v>1.9405722392858635</c:v>
                </c:pt>
                <c:pt idx="754">
                  <c:v>1.9451450620483164</c:v>
                </c:pt>
                <c:pt idx="755">
                  <c:v>1.9568037883765261</c:v>
                </c:pt>
                <c:pt idx="756">
                  <c:v>1.9860818575176649</c:v>
                </c:pt>
                <c:pt idx="757">
                  <c:v>1.990270340210633</c:v>
                </c:pt>
                <c:pt idx="758">
                  <c:v>1.9923121381268476</c:v>
                </c:pt>
                <c:pt idx="759">
                  <c:v>2.0064340101822493</c:v>
                </c:pt>
                <c:pt idx="760">
                  <c:v>2.0160455405030548</c:v>
                </c:pt>
                <c:pt idx="761">
                  <c:v>2.0008170117367587</c:v>
                </c:pt>
                <c:pt idx="762">
                  <c:v>2.0056736742949277</c:v>
                </c:pt>
                <c:pt idx="763">
                  <c:v>2.017614349177749</c:v>
                </c:pt>
                <c:pt idx="764">
                  <c:v>2.0471725020744369</c:v>
                </c:pt>
                <c:pt idx="765">
                  <c:v>2.0516392298375115</c:v>
                </c:pt>
                <c:pt idx="766">
                  <c:v>2.053957459920444</c:v>
                </c:pt>
                <c:pt idx="767">
                  <c:v>2.0683539766871277</c:v>
                </c:pt>
                <c:pt idx="768">
                  <c:v>2.0782383893756364</c:v>
                </c:pt>
                <c:pt idx="769">
                  <c:v>2.0632799263013211</c:v>
                </c:pt>
                <c:pt idx="770">
                  <c:v>2.0684060441843255</c:v>
                </c:pt>
                <c:pt idx="771">
                  <c:v>2.0806144851236219</c:v>
                </c:pt>
                <c:pt idx="772">
                  <c:v>2.1104387385624279</c:v>
                </c:pt>
                <c:pt idx="773">
                  <c:v>2.115169924768761</c:v>
                </c:pt>
                <c:pt idx="774">
                  <c:v>2.1177509942737087</c:v>
                </c:pt>
                <c:pt idx="775">
                  <c:v>2.1324087541818564</c:v>
                </c:pt>
                <c:pt idx="776">
                  <c:v>2.1425528361363262</c:v>
                </c:pt>
                <c:pt idx="777">
                  <c:v>2.1278513642697954</c:v>
                </c:pt>
                <c:pt idx="778">
                  <c:v>2.1332340936238463</c:v>
                </c:pt>
                <c:pt idx="779">
                  <c:v>2.1456976371016485</c:v>
                </c:pt>
                <c:pt idx="780">
                  <c:v>2.1757755052260954</c:v>
                </c:pt>
                <c:pt idx="781">
                  <c:v>2.1807588390197088</c:v>
                </c:pt>
                <c:pt idx="782">
                  <c:v>2.1835906094455719</c:v>
                </c:pt>
                <c:pt idx="783">
                  <c:v>2.1984976437205912</c:v>
                </c:pt>
                <c:pt idx="784">
                  <c:v>2.2088895932835113</c:v>
                </c:pt>
                <c:pt idx="785">
                  <c:v>2.1944334487697139</c:v>
                </c:pt>
                <c:pt idx="786">
                  <c:v>2.2000613143609229</c:v>
                </c:pt>
                <c:pt idx="787">
                  <c:v>2.2127686445361778</c:v>
                </c:pt>
                <c:pt idx="788">
                  <c:v>2.2430889683805848</c:v>
                </c:pt>
                <c:pt idx="789">
                  <c:v>2.2483134451790763</c:v>
                </c:pt>
                <c:pt idx="790">
                  <c:v>2.2513850638609663</c:v>
                </c:pt>
                <c:pt idx="791">
                  <c:v>2.2665306693168823</c:v>
                </c:pt>
                <c:pt idx="792">
                  <c:v>2.2771599303705261</c:v>
                </c:pt>
                <c:pt idx="793">
                  <c:v>2.262938690532017</c:v>
                </c:pt>
                <c:pt idx="794">
                  <c:v>2.2688014228560895</c:v>
                </c:pt>
                <c:pt idx="795">
                  <c:v>2.2817424102235933</c:v>
                </c:pt>
                <c:pt idx="796">
                  <c:v>2.3122951979899264</c:v>
                </c:pt>
                <c:pt idx="797">
                  <c:v>2.3177509614409075</c:v>
                </c:pt>
                <c:pt idx="798">
                  <c:v>2.3210527052412377</c:v>
                </c:pt>
                <c:pt idx="799">
                  <c:v>2.3364272897553571</c:v>
                </c:pt>
                <c:pt idx="800">
                  <c:v>2.3472843990231205</c:v>
                </c:pt>
                <c:pt idx="801">
                  <c:v>2.3332887276757823</c:v>
                </c:pt>
                <c:pt idx="802">
                  <c:v>2.3393771141281752</c:v>
                </c:pt>
                <c:pt idx="803">
                  <c:v>2.3525426686096482</c:v>
                </c:pt>
                <c:pt idx="804">
                  <c:v>2.3833189507031731</c:v>
                </c:pt>
                <c:pt idx="805">
                  <c:v>2.3889971496840152</c:v>
                </c:pt>
                <c:pt idx="806">
                  <c:v>2.3925202839720323</c:v>
                </c:pt>
                <c:pt idx="807">
                  <c:v>2.4081152274563462</c:v>
                </c:pt>
                <c:pt idx="808">
                  <c:v>2.4191916774748097</c:v>
                </c:pt>
                <c:pt idx="809">
                  <c:v>2.4054131869220745</c:v>
                </c:pt>
                <c:pt idx="810">
                  <c:v>2.4117189388660201</c:v>
                </c:pt>
                <c:pt idx="811">
                  <c:v>2.4251008788844226</c:v>
                </c:pt>
                <c:pt idx="812">
                  <c:v>2.4560925789921404</c:v>
                </c:pt>
                <c:pt idx="813">
                  <c:v>2.4619852406880947</c:v>
                </c:pt>
                <c:pt idx="814">
                  <c:v>2.4657218944111428</c:v>
                </c:pt>
                <c:pt idx="815">
                  <c:v>2.4815294258682812</c:v>
                </c:pt>
                <c:pt idx="816">
                  <c:v>2.4928175440176057</c:v>
                </c:pt>
                <c:pt idx="817">
                  <c:v>2.4792486737393471</c:v>
                </c:pt>
                <c:pt idx="818">
                  <c:v>2.4857643095075197</c:v>
                </c:pt>
                <c:pt idx="819">
                  <c:v>2.4993552469209694</c:v>
                </c:pt>
                <c:pt idx="820">
                  <c:v>2.5305550688619318</c:v>
                </c:pt>
                <c:pt idx="821">
                  <c:v>2.5366549875158615</c:v>
                </c:pt>
                <c:pt idx="822">
                  <c:v>2.5405980438305291</c:v>
                </c:pt>
                <c:pt idx="823">
                  <c:v>2.5566111338474</c:v>
                </c:pt>
                <c:pt idx="824">
                  <c:v>2.5681039766877198</c:v>
                </c:pt>
                <c:pt idx="825">
                  <c:v>2.5547378877255515</c:v>
                </c:pt>
                <c:pt idx="826">
                  <c:v>2.5614566306232289</c:v>
                </c:pt>
                <c:pt idx="827">
                  <c:v>2.5752498705059295</c:v>
                </c:pt>
                <c:pt idx="828">
                  <c:v>2.6066511997677848</c:v>
                </c:pt>
                <c:pt idx="829">
                  <c:v>2.6129518399497416</c:v>
                </c:pt>
                <c:pt idx="830">
                  <c:v>2.617094841201502</c:v>
                </c:pt>
                <c:pt idx="831">
                  <c:v>2.6333071086157025</c:v>
                </c:pt>
                <c:pt idx="832">
                  <c:v>2.6449983702167517</c:v>
                </c:pt>
                <c:pt idx="833">
                  <c:v>2.6318288537821442</c:v>
                </c:pt>
                <c:pt idx="834">
                  <c:v>2.6387445437029626</c:v>
                </c:pt>
                <c:pt idx="835">
                  <c:v>2.6527339975512092</c:v>
                </c:pt>
                <c:pt idx="836">
                  <c:v>2.6843308160623613</c:v>
                </c:pt>
                <c:pt idx="837">
                  <c:v>2.6908262289837452</c:v>
                </c:pt>
                <c:pt idx="838">
                  <c:v>2.6951632945389554</c:v>
                </c:pt>
                <c:pt idx="839">
                  <c:v>2.7115689257644657</c:v>
                </c:pt>
                <c:pt idx="840">
                  <c:v>2.723452858500865</c:v>
                </c:pt>
                <c:pt idx="841">
                  <c:v>2.7104742571746305</c:v>
                </c:pt>
                <c:pt idx="842">
                  <c:v>2.7175812742851075</c:v>
                </c:pt>
                <c:pt idx="843">
                  <c:v>2.7317613850987916</c:v>
                </c:pt>
                <c:pt idx="844">
                  <c:v>2.7635481976832628</c:v>
                </c:pt>
                <c:pt idx="845">
                  <c:v>2.7702329490015773</c:v>
                </c:pt>
                <c:pt idx="846">
                  <c:v>2.7747587043788302</c:v>
                </c:pt>
                <c:pt idx="847">
                  <c:v>2.7913523838408709</c:v>
                </c:pt>
                <c:pt idx="848">
                  <c:v>2.8034237301075962</c:v>
                </c:pt>
                <c:pt idx="849">
                  <c:v>2.790630870019184</c:v>
                </c:pt>
                <c:pt idx="850">
                  <c:v>2.7979240689828671</c:v>
                </c:pt>
                <c:pt idx="851">
                  <c:v>2.8122897467023553</c:v>
                </c:pt>
                <c:pt idx="852">
                  <c:v>2.8442615177074777</c:v>
                </c:pt>
                <c:pt idx="853">
                  <c:v>2.8511306253231812</c:v>
                </c:pt>
                <c:pt idx="854">
                  <c:v>2.8558401411379348</c:v>
                </c:pt>
                <c:pt idx="855">
                  <c:v>2.8726169913442492</c:v>
                </c:pt>
                <c:pt idx="856">
                  <c:v>2.884870924733745</c:v>
                </c:pt>
                <c:pt idx="857">
                  <c:v>2.8722590572206315</c:v>
                </c:pt>
                <c:pt idx="858">
                  <c:v>2.8797337105357013</c:v>
                </c:pt>
                <c:pt idx="859">
                  <c:v>2.8942802764240843</c:v>
                </c:pt>
                <c:pt idx="860">
                  <c:v>2.9264323751277339</c:v>
                </c:pt>
                <c:pt idx="861">
                  <c:v>2.9334812555970942</c:v>
                </c:pt>
                <c:pt idx="862">
                  <c:v>2.9383699949610804</c:v>
                </c:pt>
                <c:pt idx="863">
                  <c:v>2.9553255248691395</c:v>
                </c:pt>
                <c:pt idx="864">
                  <c:v>2.9677575994878369</c:v>
                </c:pt>
                <c:pt idx="865">
                  <c:v>2.9553223508878075</c:v>
                </c:pt>
                <c:pt idx="866">
                  <c:v>2.9629741000545424</c:v>
                </c:pt>
                <c:pt idx="867">
                  <c:v>2.9776972387605301</c:v>
                </c:pt>
                <c:pt idx="868">
                  <c:v>3.0100253923121967</c:v>
                </c:pt>
                <c:pt idx="869">
                  <c:v>3.0172498146495657</c:v>
                </c:pt>
                <c:pt idx="870">
                  <c:v>3.0223135878175889</c:v>
                </c:pt>
                <c:pt idx="871">
                  <c:v>3.0394436483095282</c:v>
                </c:pt>
                <c:pt idx="872">
                  <c:v>3.0520497550648287</c:v>
                </c:pt>
                <c:pt idx="873">
                  <c:v>3.0397870834578367</c:v>
                </c:pt>
                <c:pt idx="874">
                  <c:v>3.0476118968463926</c:v>
                </c:pt>
                <c:pt idx="875">
                  <c:v>3.0625076150374078</c:v>
                </c:pt>
                <c:pt idx="876">
                  <c:v>3.0950078678416411</c:v>
                </c:pt>
                <c:pt idx="877">
                  <c:v>3.1024039136385797</c:v>
                </c:pt>
                <c:pt idx="878">
                  <c:v>3.1076388388489216</c:v>
                </c:pt>
                <c:pt idx="879">
                  <c:v>3.1249395842790806</c:v>
                </c:pt>
                <c:pt idx="880">
                  <c:v>3.1377159131201724</c:v>
                </c:pt>
                <c:pt idx="881">
                  <c:v>3.1256220709954494</c:v>
                </c:pt>
                <c:pt idx="882">
                  <c:v>3.1336162074345859</c:v>
                </c:pt>
                <c:pt idx="883">
                  <c:v>3.1486807980386278</c:v>
                </c:pt>
                <c:pt idx="884">
                  <c:v>3.1813494766372084</c:v>
                </c:pt>
                <c:pt idx="885">
                  <c:v>3.1889135055723816</c:v>
                </c:pt>
                <c:pt idx="886">
                  <c:v>3.1943159751720764</c:v>
                </c:pt>
                <c:pt idx="887">
                  <c:v>3.2117838300955732</c:v>
                </c:pt>
                <c:pt idx="888">
                  <c:v>3.2247268373334279</c:v>
                </c:pt>
                <c:pt idx="889">
                  <c:v>3.2127983393038066</c:v>
                </c:pt>
                <c:pt idx="890">
                  <c:v>3.2209583165496483</c:v>
                </c:pt>
                <c:pt idx="891">
                  <c:v>3.2361883277812424</c:v>
                </c:pt>
                <c:pt idx="892">
                  <c:v>3.269022010425386</c:v>
                </c:pt>
                <c:pt idx="893">
                  <c:v>3.2767506303722844</c:v>
                </c:pt>
                <c:pt idx="894">
                  <c:v>3.282317281449858</c:v>
                </c:pt>
                <c:pt idx="895">
                  <c:v>3.299948911770032</c:v>
                </c:pt>
                <c:pt idx="896">
                  <c:v>3.3130552917294729</c:v>
                </c:pt>
                <c:pt idx="897">
                  <c:v>3.3012888865450245</c:v>
                </c:pt>
                <c:pt idx="898">
                  <c:v>3.309611453912495</c:v>
                </c:pt>
                <c:pt idx="899">
                  <c:v>3.3250036623796677</c:v>
                </c:pt>
                <c:pt idx="900">
                  <c:v>3.3579991526032247</c:v>
                </c:pt>
                <c:pt idx="901">
                  <c:v>3.365889193660502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D6-47EA-A23F-CC4F89A9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160975"/>
        <c:axId val="1349141775"/>
      </c:lineChart>
      <c:catAx>
        <c:axId val="134916097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41775"/>
        <c:crosses val="autoZero"/>
        <c:auto val="1"/>
        <c:lblAlgn val="ctr"/>
        <c:lblOffset val="100"/>
        <c:noMultiLvlLbl val="0"/>
      </c:catAx>
      <c:valAx>
        <c:axId val="134914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6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Payments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'Updated Projections'!$G$1</c:f>
              <c:strCache>
                <c:ptCount val="1"/>
                <c:pt idx="0">
                  <c:v>Payments per date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'Updated Projections'!$G$2:$G$903</c:f>
              <c:numCache>
                <c:formatCode>General</c:formatCode>
                <c:ptCount val="902"/>
                <c:pt idx="0">
                  <c:v>450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450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700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300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450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700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300</c:v>
                </c:pt>
                <c:pt idx="64">
                  <c:v>0</c:v>
                </c:pt>
                <c:pt idx="65">
                  <c:v>450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700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300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450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700</c:v>
                </c:pt>
                <c:pt idx="98">
                  <c:v>300</c:v>
                </c:pt>
                <c:pt idx="99">
                  <c:v>0</c:v>
                </c:pt>
                <c:pt idx="100">
                  <c:v>450</c:v>
                </c:pt>
                <c:pt idx="101">
                  <c:v>700</c:v>
                </c:pt>
                <c:pt idx="102">
                  <c:v>0</c:v>
                </c:pt>
                <c:pt idx="103">
                  <c:v>0</c:v>
                </c:pt>
                <c:pt idx="104">
                  <c:v>300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450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700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300</c:v>
                </c:pt>
                <c:pt idx="149">
                  <c:v>0</c:v>
                </c:pt>
                <c:pt idx="150">
                  <c:v>450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700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300</c:v>
                </c:pt>
                <c:pt idx="163">
                  <c:v>450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700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300</c:v>
                </c:pt>
                <c:pt idx="194">
                  <c:v>450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700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300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450</c:v>
                </c:pt>
                <c:pt idx="236">
                  <c:v>700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300</c:v>
                </c:pt>
                <c:pt idx="254">
                  <c:v>0</c:v>
                </c:pt>
                <c:pt idx="255">
                  <c:v>450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700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300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1150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300</c:v>
                </c:pt>
                <c:pt idx="301">
                  <c:v>0</c:v>
                </c:pt>
                <c:pt idx="302">
                  <c:v>450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700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300</c:v>
                </c:pt>
                <c:pt idx="336">
                  <c:v>0</c:v>
                </c:pt>
                <c:pt idx="337">
                  <c:v>450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700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300</c:v>
                </c:pt>
                <c:pt idx="353">
                  <c:v>0</c:v>
                </c:pt>
                <c:pt idx="354">
                  <c:v>0</c:v>
                </c:pt>
                <c:pt idx="355">
                  <c:v>450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700</c:v>
                </c:pt>
                <c:pt idx="383">
                  <c:v>0</c:v>
                </c:pt>
                <c:pt idx="384">
                  <c:v>0</c:v>
                </c:pt>
                <c:pt idx="385">
                  <c:v>300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450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700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300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1150</c:v>
                </c:pt>
                <c:pt idx="436">
                  <c:v>0</c:v>
                </c:pt>
                <c:pt idx="437">
                  <c:v>300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1150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300</c:v>
                </c:pt>
                <c:pt idx="453">
                  <c:v>450</c:v>
                </c:pt>
                <c:pt idx="454">
                  <c:v>0</c:v>
                </c:pt>
                <c:pt idx="455">
                  <c:v>700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300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450</c:v>
                </c:pt>
                <c:pt idx="466">
                  <c:v>0</c:v>
                </c:pt>
                <c:pt idx="467">
                  <c:v>700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300</c:v>
                </c:pt>
                <c:pt idx="472">
                  <c:v>1150</c:v>
                </c:pt>
                <c:pt idx="473">
                  <c:v>0</c:v>
                </c:pt>
                <c:pt idx="474">
                  <c:v>0</c:v>
                </c:pt>
                <c:pt idx="475">
                  <c:v>750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700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300</c:v>
                </c:pt>
                <c:pt idx="496">
                  <c:v>0</c:v>
                </c:pt>
                <c:pt idx="497">
                  <c:v>450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700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300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450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700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300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450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700</c:v>
                </c:pt>
                <c:pt idx="579">
                  <c:v>0</c:v>
                </c:pt>
                <c:pt idx="580">
                  <c:v>0</c:v>
                </c:pt>
                <c:pt idx="581">
                  <c:v>300</c:v>
                </c:pt>
                <c:pt idx="582">
                  <c:v>0</c:v>
                </c:pt>
                <c:pt idx="583">
                  <c:v>450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700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300</c:v>
                </c:pt>
                <c:pt idx="593">
                  <c:v>450</c:v>
                </c:pt>
                <c:pt idx="594">
                  <c:v>0</c:v>
                </c:pt>
                <c:pt idx="595">
                  <c:v>0</c:v>
                </c:pt>
                <c:pt idx="596">
                  <c:v>700</c:v>
                </c:pt>
                <c:pt idx="597">
                  <c:v>0</c:v>
                </c:pt>
                <c:pt idx="598">
                  <c:v>300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450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700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300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450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700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300</c:v>
                </c:pt>
                <c:pt idx="653">
                  <c:v>0</c:v>
                </c:pt>
                <c:pt idx="654">
                  <c:v>0</c:v>
                </c:pt>
                <c:pt idx="655">
                  <c:v>450</c:v>
                </c:pt>
                <c:pt idx="656">
                  <c:v>700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300</c:v>
                </c:pt>
                <c:pt idx="683">
                  <c:v>0</c:v>
                </c:pt>
                <c:pt idx="684">
                  <c:v>450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700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300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450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700</c:v>
                </c:pt>
                <c:pt idx="711">
                  <c:v>0</c:v>
                </c:pt>
                <c:pt idx="712">
                  <c:v>300</c:v>
                </c:pt>
                <c:pt idx="713">
                  <c:v>0</c:v>
                </c:pt>
                <c:pt idx="714">
                  <c:v>0</c:v>
                </c:pt>
                <c:pt idx="715">
                  <c:v>450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E-4C9F-AD37-03EEE84361BB}"/>
            </c:ext>
          </c:extLst>
        </c:ser>
        <c:ser>
          <c:idx val="1"/>
          <c:order val="1"/>
          <c:tx>
            <c:strRef>
              <c:f>'Updated Projections'!$H$1</c:f>
              <c:strCache>
                <c:ptCount val="1"/>
                <c:pt idx="0">
                  <c:v>Forecast(payments per date)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'Updated Projections'!$F$2:$F$903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Projections'!$H$2:$H$903</c:f>
              <c:numCache>
                <c:formatCode>General</c:formatCode>
                <c:ptCount val="902"/>
                <c:pt idx="720">
                  <c:v>700</c:v>
                </c:pt>
                <c:pt idx="721">
                  <c:v>700.03803261347014</c:v>
                </c:pt>
                <c:pt idx="722">
                  <c:v>700.07606522694061</c:v>
                </c:pt>
                <c:pt idx="723">
                  <c:v>700.11409784041075</c:v>
                </c:pt>
                <c:pt idx="724">
                  <c:v>700.15213045388123</c:v>
                </c:pt>
                <c:pt idx="725">
                  <c:v>700.19016306735136</c:v>
                </c:pt>
                <c:pt idx="726">
                  <c:v>700.22819568082184</c:v>
                </c:pt>
                <c:pt idx="727">
                  <c:v>700.26622829429198</c:v>
                </c:pt>
                <c:pt idx="728">
                  <c:v>700.30426090776245</c:v>
                </c:pt>
                <c:pt idx="729">
                  <c:v>700.34229352123259</c:v>
                </c:pt>
                <c:pt idx="730">
                  <c:v>700.38032613470318</c:v>
                </c:pt>
                <c:pt idx="731">
                  <c:v>700.4183587481732</c:v>
                </c:pt>
                <c:pt idx="732">
                  <c:v>700.4563913616438</c:v>
                </c:pt>
                <c:pt idx="733">
                  <c:v>700.49442397511382</c:v>
                </c:pt>
                <c:pt idx="734">
                  <c:v>700.53245658858441</c:v>
                </c:pt>
                <c:pt idx="735">
                  <c:v>700.57048920205443</c:v>
                </c:pt>
                <c:pt idx="736">
                  <c:v>700.60852181552502</c:v>
                </c:pt>
                <c:pt idx="737">
                  <c:v>700.64655442899505</c:v>
                </c:pt>
                <c:pt idx="738">
                  <c:v>700.68458704246564</c:v>
                </c:pt>
                <c:pt idx="739">
                  <c:v>700.72261965593577</c:v>
                </c:pt>
                <c:pt idx="740">
                  <c:v>700.76065226940625</c:v>
                </c:pt>
                <c:pt idx="741">
                  <c:v>700.79868488287639</c:v>
                </c:pt>
                <c:pt idx="742">
                  <c:v>700.83671749634686</c:v>
                </c:pt>
                <c:pt idx="743">
                  <c:v>700.874750109817</c:v>
                </c:pt>
                <c:pt idx="744">
                  <c:v>700.91278272328748</c:v>
                </c:pt>
                <c:pt idx="745">
                  <c:v>700.95081533675761</c:v>
                </c:pt>
                <c:pt idx="746">
                  <c:v>700.98884795022821</c:v>
                </c:pt>
                <c:pt idx="747">
                  <c:v>701.02688056369823</c:v>
                </c:pt>
                <c:pt idx="748">
                  <c:v>701.06491317716882</c:v>
                </c:pt>
                <c:pt idx="749">
                  <c:v>701.10294579063884</c:v>
                </c:pt>
                <c:pt idx="750">
                  <c:v>701.14097840410943</c:v>
                </c:pt>
                <c:pt idx="751">
                  <c:v>701.17901101757946</c:v>
                </c:pt>
                <c:pt idx="752">
                  <c:v>701.21704363105005</c:v>
                </c:pt>
                <c:pt idx="753">
                  <c:v>701.25507624452007</c:v>
                </c:pt>
                <c:pt idx="754">
                  <c:v>701.29310885799066</c:v>
                </c:pt>
                <c:pt idx="755">
                  <c:v>701.3311414714608</c:v>
                </c:pt>
                <c:pt idx="756">
                  <c:v>701.36917408493127</c:v>
                </c:pt>
                <c:pt idx="757">
                  <c:v>701.40720669840141</c:v>
                </c:pt>
                <c:pt idx="758">
                  <c:v>701.44523931187189</c:v>
                </c:pt>
                <c:pt idx="759">
                  <c:v>701.48327192534202</c:v>
                </c:pt>
                <c:pt idx="760">
                  <c:v>701.5213045388125</c:v>
                </c:pt>
                <c:pt idx="761">
                  <c:v>701.55933715228264</c:v>
                </c:pt>
                <c:pt idx="762">
                  <c:v>701.59736976575311</c:v>
                </c:pt>
                <c:pt idx="763">
                  <c:v>701.63540237922325</c:v>
                </c:pt>
                <c:pt idx="764">
                  <c:v>701.67343499269384</c:v>
                </c:pt>
                <c:pt idx="765">
                  <c:v>701.71146760616386</c:v>
                </c:pt>
                <c:pt idx="766">
                  <c:v>701.74950021963446</c:v>
                </c:pt>
                <c:pt idx="767">
                  <c:v>701.78753283310448</c:v>
                </c:pt>
                <c:pt idx="768">
                  <c:v>701.82556544657507</c:v>
                </c:pt>
                <c:pt idx="769">
                  <c:v>701.86359806004509</c:v>
                </c:pt>
                <c:pt idx="770">
                  <c:v>701.90163067351568</c:v>
                </c:pt>
                <c:pt idx="771">
                  <c:v>701.93966328698571</c:v>
                </c:pt>
                <c:pt idx="772">
                  <c:v>701.9776959004563</c:v>
                </c:pt>
                <c:pt idx="773">
                  <c:v>702.01572851392643</c:v>
                </c:pt>
                <c:pt idx="774">
                  <c:v>702.05376112739691</c:v>
                </c:pt>
                <c:pt idx="775">
                  <c:v>702.09179374086705</c:v>
                </c:pt>
                <c:pt idx="776">
                  <c:v>702.12982635433752</c:v>
                </c:pt>
                <c:pt idx="777">
                  <c:v>702.16785896780766</c:v>
                </c:pt>
                <c:pt idx="778">
                  <c:v>702.20589158127814</c:v>
                </c:pt>
                <c:pt idx="779">
                  <c:v>702.24392419474827</c:v>
                </c:pt>
                <c:pt idx="780">
                  <c:v>702.28195680821887</c:v>
                </c:pt>
                <c:pt idx="781">
                  <c:v>702.31998942168889</c:v>
                </c:pt>
                <c:pt idx="782">
                  <c:v>702.35802203515948</c:v>
                </c:pt>
                <c:pt idx="783">
                  <c:v>702.3960546486295</c:v>
                </c:pt>
                <c:pt idx="784">
                  <c:v>702.43408726210009</c:v>
                </c:pt>
                <c:pt idx="785">
                  <c:v>702.47211987557012</c:v>
                </c:pt>
                <c:pt idx="786">
                  <c:v>702.51015248904071</c:v>
                </c:pt>
                <c:pt idx="787">
                  <c:v>702.54818510251073</c:v>
                </c:pt>
                <c:pt idx="788">
                  <c:v>702.58621771598132</c:v>
                </c:pt>
                <c:pt idx="789">
                  <c:v>702.62425032945146</c:v>
                </c:pt>
                <c:pt idx="790">
                  <c:v>702.66228294292193</c:v>
                </c:pt>
                <c:pt idx="791">
                  <c:v>702.70031555639207</c:v>
                </c:pt>
                <c:pt idx="792">
                  <c:v>702.73834816986255</c:v>
                </c:pt>
                <c:pt idx="793">
                  <c:v>702.77638078333268</c:v>
                </c:pt>
                <c:pt idx="794">
                  <c:v>702.81441339680316</c:v>
                </c:pt>
                <c:pt idx="795">
                  <c:v>702.8524460102733</c:v>
                </c:pt>
                <c:pt idx="796">
                  <c:v>702.89047862374377</c:v>
                </c:pt>
                <c:pt idx="797">
                  <c:v>702.92851123721391</c:v>
                </c:pt>
                <c:pt idx="798">
                  <c:v>702.9665438506845</c:v>
                </c:pt>
                <c:pt idx="799">
                  <c:v>703.00457646415452</c:v>
                </c:pt>
                <c:pt idx="800">
                  <c:v>703.04260907762512</c:v>
                </c:pt>
                <c:pt idx="801">
                  <c:v>703.08064169109514</c:v>
                </c:pt>
                <c:pt idx="802">
                  <c:v>703.11867430456573</c:v>
                </c:pt>
                <c:pt idx="803">
                  <c:v>703.15670691803575</c:v>
                </c:pt>
                <c:pt idx="804">
                  <c:v>703.19473953150634</c:v>
                </c:pt>
                <c:pt idx="805">
                  <c:v>703.23277214497637</c:v>
                </c:pt>
                <c:pt idx="806">
                  <c:v>703.27080475844696</c:v>
                </c:pt>
                <c:pt idx="807">
                  <c:v>703.30883737191709</c:v>
                </c:pt>
                <c:pt idx="808">
                  <c:v>703.34686998538757</c:v>
                </c:pt>
                <c:pt idx="809">
                  <c:v>703.38490259885771</c:v>
                </c:pt>
                <c:pt idx="810">
                  <c:v>703.42293521232818</c:v>
                </c:pt>
                <c:pt idx="811">
                  <c:v>703.46096782579832</c:v>
                </c:pt>
                <c:pt idx="812">
                  <c:v>703.4990004392688</c:v>
                </c:pt>
                <c:pt idx="813">
                  <c:v>703.53703305273893</c:v>
                </c:pt>
                <c:pt idx="814">
                  <c:v>703.57506566620953</c:v>
                </c:pt>
                <c:pt idx="815">
                  <c:v>703.61309827967955</c:v>
                </c:pt>
                <c:pt idx="816">
                  <c:v>703.65113089315014</c:v>
                </c:pt>
                <c:pt idx="817">
                  <c:v>703.68916350662016</c:v>
                </c:pt>
                <c:pt idx="818">
                  <c:v>703.72719612009075</c:v>
                </c:pt>
                <c:pt idx="819">
                  <c:v>703.76522873356078</c:v>
                </c:pt>
                <c:pt idx="820">
                  <c:v>703.80326134703137</c:v>
                </c:pt>
                <c:pt idx="821">
                  <c:v>703.84129396050139</c:v>
                </c:pt>
                <c:pt idx="822">
                  <c:v>703.87932657397198</c:v>
                </c:pt>
                <c:pt idx="823">
                  <c:v>703.91735918744212</c:v>
                </c:pt>
                <c:pt idx="824">
                  <c:v>703.95539180091259</c:v>
                </c:pt>
                <c:pt idx="825">
                  <c:v>703.99342441438273</c:v>
                </c:pt>
                <c:pt idx="826">
                  <c:v>704.03145702785321</c:v>
                </c:pt>
                <c:pt idx="827">
                  <c:v>704.06948964132334</c:v>
                </c:pt>
                <c:pt idx="828">
                  <c:v>704.10752225479382</c:v>
                </c:pt>
                <c:pt idx="829">
                  <c:v>704.14555486826396</c:v>
                </c:pt>
                <c:pt idx="830">
                  <c:v>704.18358748173443</c:v>
                </c:pt>
                <c:pt idx="831">
                  <c:v>704.22162009520457</c:v>
                </c:pt>
                <c:pt idx="832">
                  <c:v>704.25965270867516</c:v>
                </c:pt>
                <c:pt idx="833">
                  <c:v>704.29768532214518</c:v>
                </c:pt>
                <c:pt idx="834">
                  <c:v>704.33571793561578</c:v>
                </c:pt>
                <c:pt idx="835">
                  <c:v>704.3737505490858</c:v>
                </c:pt>
                <c:pt idx="836">
                  <c:v>704.41178316255639</c:v>
                </c:pt>
                <c:pt idx="837">
                  <c:v>704.44981577602641</c:v>
                </c:pt>
                <c:pt idx="838">
                  <c:v>704.487848389497</c:v>
                </c:pt>
                <c:pt idx="839">
                  <c:v>704.52588100296703</c:v>
                </c:pt>
                <c:pt idx="840">
                  <c:v>704.56391361643762</c:v>
                </c:pt>
                <c:pt idx="841">
                  <c:v>704.60194622990775</c:v>
                </c:pt>
                <c:pt idx="842">
                  <c:v>704.63997884337823</c:v>
                </c:pt>
                <c:pt idx="843">
                  <c:v>704.67801145684837</c:v>
                </c:pt>
                <c:pt idx="844">
                  <c:v>704.71604407031884</c:v>
                </c:pt>
                <c:pt idx="845">
                  <c:v>704.75407668378898</c:v>
                </c:pt>
                <c:pt idx="846">
                  <c:v>704.79210929725946</c:v>
                </c:pt>
                <c:pt idx="847">
                  <c:v>704.83014191072959</c:v>
                </c:pt>
                <c:pt idx="848">
                  <c:v>704.86817452420007</c:v>
                </c:pt>
                <c:pt idx="849">
                  <c:v>704.90620713767021</c:v>
                </c:pt>
                <c:pt idx="850">
                  <c:v>704.9442397511408</c:v>
                </c:pt>
                <c:pt idx="851">
                  <c:v>704.98227236461082</c:v>
                </c:pt>
                <c:pt idx="852">
                  <c:v>705.02030497808141</c:v>
                </c:pt>
                <c:pt idx="853">
                  <c:v>705.05833759155144</c:v>
                </c:pt>
                <c:pt idx="854">
                  <c:v>705.09637020502203</c:v>
                </c:pt>
                <c:pt idx="855">
                  <c:v>705.13440281849205</c:v>
                </c:pt>
                <c:pt idx="856">
                  <c:v>705.17243543196264</c:v>
                </c:pt>
                <c:pt idx="857">
                  <c:v>705.21046804543278</c:v>
                </c:pt>
                <c:pt idx="858">
                  <c:v>705.24850065890325</c:v>
                </c:pt>
                <c:pt idx="859">
                  <c:v>705.28653327237339</c:v>
                </c:pt>
                <c:pt idx="860">
                  <c:v>705.32456588584387</c:v>
                </c:pt>
                <c:pt idx="861">
                  <c:v>705.362598499314</c:v>
                </c:pt>
                <c:pt idx="862">
                  <c:v>705.40063111278448</c:v>
                </c:pt>
                <c:pt idx="863">
                  <c:v>705.43866372625462</c:v>
                </c:pt>
                <c:pt idx="864">
                  <c:v>705.47669633972509</c:v>
                </c:pt>
                <c:pt idx="865">
                  <c:v>705.51472895319523</c:v>
                </c:pt>
                <c:pt idx="866">
                  <c:v>705.55276156666582</c:v>
                </c:pt>
                <c:pt idx="867">
                  <c:v>705.59079418013584</c:v>
                </c:pt>
                <c:pt idx="868">
                  <c:v>705.62882679360644</c:v>
                </c:pt>
                <c:pt idx="869">
                  <c:v>705.66685940707646</c:v>
                </c:pt>
                <c:pt idx="870">
                  <c:v>705.70489202054705</c:v>
                </c:pt>
                <c:pt idx="871">
                  <c:v>705.74292463401707</c:v>
                </c:pt>
                <c:pt idx="872">
                  <c:v>705.78095724748766</c:v>
                </c:pt>
                <c:pt idx="873">
                  <c:v>705.81898986095769</c:v>
                </c:pt>
                <c:pt idx="874">
                  <c:v>705.85702247442828</c:v>
                </c:pt>
                <c:pt idx="875">
                  <c:v>705.89505508789841</c:v>
                </c:pt>
                <c:pt idx="876">
                  <c:v>705.93308770136889</c:v>
                </c:pt>
                <c:pt idx="877">
                  <c:v>705.97112031483903</c:v>
                </c:pt>
                <c:pt idx="878">
                  <c:v>706.0091529283095</c:v>
                </c:pt>
                <c:pt idx="879">
                  <c:v>706.04718554177964</c:v>
                </c:pt>
                <c:pt idx="880">
                  <c:v>706.08521815525012</c:v>
                </c:pt>
                <c:pt idx="881">
                  <c:v>706.12325076872025</c:v>
                </c:pt>
                <c:pt idx="882">
                  <c:v>706.16128338219073</c:v>
                </c:pt>
                <c:pt idx="883">
                  <c:v>706.19931599566087</c:v>
                </c:pt>
                <c:pt idx="884">
                  <c:v>706.23734860913146</c:v>
                </c:pt>
                <c:pt idx="885">
                  <c:v>706.27538122260148</c:v>
                </c:pt>
                <c:pt idx="886">
                  <c:v>706.31341383607207</c:v>
                </c:pt>
                <c:pt idx="887">
                  <c:v>706.3514464495421</c:v>
                </c:pt>
                <c:pt idx="888">
                  <c:v>706.38947906301269</c:v>
                </c:pt>
                <c:pt idx="889">
                  <c:v>706.42751167648271</c:v>
                </c:pt>
                <c:pt idx="890">
                  <c:v>706.4655442899533</c:v>
                </c:pt>
                <c:pt idx="891">
                  <c:v>706.50357690342344</c:v>
                </c:pt>
                <c:pt idx="892">
                  <c:v>706.54160951689391</c:v>
                </c:pt>
                <c:pt idx="893">
                  <c:v>706.57964213036405</c:v>
                </c:pt>
                <c:pt idx="894">
                  <c:v>706.61767474383453</c:v>
                </c:pt>
                <c:pt idx="895">
                  <c:v>706.65570735730466</c:v>
                </c:pt>
                <c:pt idx="896">
                  <c:v>706.69373997077514</c:v>
                </c:pt>
                <c:pt idx="897">
                  <c:v>706.73177258424528</c:v>
                </c:pt>
                <c:pt idx="898">
                  <c:v>706.76980519771575</c:v>
                </c:pt>
                <c:pt idx="899">
                  <c:v>706.80783781118589</c:v>
                </c:pt>
                <c:pt idx="900">
                  <c:v>706.84587042465648</c:v>
                </c:pt>
                <c:pt idx="901">
                  <c:v>706.8839030381265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E-4C9F-AD37-03EEE84361BB}"/>
            </c:ext>
          </c:extLst>
        </c:ser>
        <c:ser>
          <c:idx val="2"/>
          <c:order val="2"/>
          <c:tx>
            <c:strRef>
              <c:f>'Updated Projections'!$I$1</c:f>
              <c:strCache>
                <c:ptCount val="1"/>
                <c:pt idx="0">
                  <c:v>Limite de Confiança Inferior(Sum of payments per date)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'Updated Projections'!$F$2:$F$903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Projections'!$I$2:$I$903</c:f>
              <c:numCache>
                <c:formatCode>0.00</c:formatCode>
                <c:ptCount val="902"/>
                <c:pt idx="720">
                  <c:v>700</c:v>
                </c:pt>
                <c:pt idx="721">
                  <c:v>313.47313829120526</c:v>
                </c:pt>
                <c:pt idx="722">
                  <c:v>310.40618829955696</c:v>
                </c:pt>
                <c:pt idx="723">
                  <c:v>307.31527692404256</c:v>
                </c:pt>
                <c:pt idx="724">
                  <c:v>304.20059481690572</c:v>
                </c:pt>
                <c:pt idx="725">
                  <c:v>301.0623308764512</c:v>
                </c:pt>
                <c:pt idx="726">
                  <c:v>297.90067220460099</c:v>
                </c:pt>
                <c:pt idx="727">
                  <c:v>294.71580406887091</c:v>
                </c:pt>
                <c:pt idx="728">
                  <c:v>291.5079098685531</c:v>
                </c:pt>
                <c:pt idx="729">
                  <c:v>288.27717110487913</c:v>
                </c:pt>
                <c:pt idx="730">
                  <c:v>285.02376735496046</c:v>
                </c:pt>
                <c:pt idx="731">
                  <c:v>281.74787624929456</c:v>
                </c:pt>
                <c:pt idx="732">
                  <c:v>278.44967345264951</c:v>
                </c:pt>
                <c:pt idx="733">
                  <c:v>275.12933264812472</c:v>
                </c:pt>
                <c:pt idx="734">
                  <c:v>271.78702552421987</c:v>
                </c:pt>
                <c:pt idx="735">
                  <c:v>268.42292176471886</c:v>
                </c:pt>
                <c:pt idx="736">
                  <c:v>265.03718904123764</c:v>
                </c:pt>
                <c:pt idx="737">
                  <c:v>261.6299930082551</c:v>
                </c:pt>
                <c:pt idx="738">
                  <c:v>258.20149730048968</c:v>
                </c:pt>
                <c:pt idx="739">
                  <c:v>254.75186353245437</c:v>
                </c:pt>
                <c:pt idx="740">
                  <c:v>251.28125130006504</c:v>
                </c:pt>
                <c:pt idx="741">
                  <c:v>247.7898181841494</c:v>
                </c:pt>
                <c:pt idx="742">
                  <c:v>244.27771975574143</c:v>
                </c:pt>
                <c:pt idx="743">
                  <c:v>240.74510958302318</c:v>
                </c:pt>
                <c:pt idx="744">
                  <c:v>237.19213923980942</c:v>
                </c:pt>
                <c:pt idx="745">
                  <c:v>233.61895831544928</c:v>
                </c:pt>
                <c:pt idx="746">
                  <c:v>230.02571442605046</c:v>
                </c:pt>
                <c:pt idx="747">
                  <c:v>226.41255322691239</c:v>
                </c:pt>
                <c:pt idx="748">
                  <c:v>222.77961842608499</c:v>
                </c:pt>
                <c:pt idx="749">
                  <c:v>219.12705179894556</c:v>
                </c:pt>
                <c:pt idx="750">
                  <c:v>215.45499320372585</c:v>
                </c:pt>
                <c:pt idx="751">
                  <c:v>211.76358059788788</c:v>
                </c:pt>
                <c:pt idx="752">
                  <c:v>208.05295005528984</c:v>
                </c:pt>
                <c:pt idx="753">
                  <c:v>204.32323578405004</c:v>
                </c:pt>
                <c:pt idx="754">
                  <c:v>200.57457014505923</c:v>
                </c:pt>
                <c:pt idx="755">
                  <c:v>196.80708367105569</c:v>
                </c:pt>
                <c:pt idx="756">
                  <c:v>193.02090508622194</c:v>
                </c:pt>
                <c:pt idx="757">
                  <c:v>189.21616132622626</c:v>
                </c:pt>
                <c:pt idx="758">
                  <c:v>185.3929775586713</c:v>
                </c:pt>
                <c:pt idx="759">
                  <c:v>181.55147720388447</c:v>
                </c:pt>
                <c:pt idx="760">
                  <c:v>177.69178195601376</c:v>
                </c:pt>
                <c:pt idx="761">
                  <c:v>173.81401180437433</c:v>
                </c:pt>
                <c:pt idx="762">
                  <c:v>169.91828505501212</c:v>
                </c:pt>
                <c:pt idx="763">
                  <c:v>166.00471835243673</c:v>
                </c:pt>
                <c:pt idx="764">
                  <c:v>162.07342670149671</c:v>
                </c:pt>
                <c:pt idx="765">
                  <c:v>158.12452348934937</c:v>
                </c:pt>
                <c:pt idx="766">
                  <c:v>154.15812050750935</c:v>
                </c:pt>
                <c:pt idx="767">
                  <c:v>150.17432797392871</c:v>
                </c:pt>
                <c:pt idx="768">
                  <c:v>146.1732545550982</c:v>
                </c:pt>
                <c:pt idx="769">
                  <c:v>142.15500738812557</c:v>
                </c:pt>
                <c:pt idx="770">
                  <c:v>138.11969210278676</c:v>
                </c:pt>
                <c:pt idx="771">
                  <c:v>134.06741284350562</c:v>
                </c:pt>
                <c:pt idx="772">
                  <c:v>129.99827229126618</c:v>
                </c:pt>
                <c:pt idx="773">
                  <c:v>125.91237168541375</c:v>
                </c:pt>
                <c:pt idx="774">
                  <c:v>121.80981084534938</c:v>
                </c:pt>
                <c:pt idx="775">
                  <c:v>117.69068819208348</c:v>
                </c:pt>
                <c:pt idx="776">
                  <c:v>113.55510076964902</c:v>
                </c:pt>
                <c:pt idx="777">
                  <c:v>109.40314426634802</c:v>
                </c:pt>
                <c:pt idx="778">
                  <c:v>105.23491303583</c:v>
                </c:pt>
                <c:pt idx="779">
                  <c:v>101.05050011798096</c:v>
                </c:pt>
                <c:pt idx="780">
                  <c:v>96.849997259624047</c:v>
                </c:pt>
                <c:pt idx="781">
                  <c:v>92.63349493500948</c:v>
                </c:pt>
                <c:pt idx="782">
                  <c:v>88.401082366100923</c:v>
                </c:pt>
                <c:pt idx="783">
                  <c:v>84.152847542633822</c:v>
                </c:pt>
                <c:pt idx="784">
                  <c:v>79.888877241956948</c:v>
                </c:pt>
                <c:pt idx="785">
                  <c:v>75.609257048633935</c:v>
                </c:pt>
                <c:pt idx="786">
                  <c:v>71.314071373816773</c:v>
                </c:pt>
                <c:pt idx="787">
                  <c:v>67.003403474369634</c:v>
                </c:pt>
                <c:pt idx="788">
                  <c:v>62.677335471756919</c:v>
                </c:pt>
                <c:pt idx="789">
                  <c:v>58.335948370673691</c:v>
                </c:pt>
                <c:pt idx="790">
                  <c:v>53.979322077435768</c:v>
                </c:pt>
                <c:pt idx="791">
                  <c:v>49.607535418107432</c:v>
                </c:pt>
                <c:pt idx="792">
                  <c:v>45.220666156382435</c:v>
                </c:pt>
                <c:pt idx="793">
                  <c:v>40.818791011202734</c:v>
                </c:pt>
                <c:pt idx="794">
                  <c:v>36.401985674126649</c:v>
                </c:pt>
                <c:pt idx="795">
                  <c:v>31.970324826434648</c:v>
                </c:pt>
                <c:pt idx="796">
                  <c:v>27.523882155981937</c:v>
                </c:pt>
                <c:pt idx="797">
                  <c:v>23.062730373790828</c:v>
                </c:pt>
                <c:pt idx="798">
                  <c:v>18.586941230390266</c:v>
                </c:pt>
                <c:pt idx="799">
                  <c:v>14.09658553189422</c:v>
                </c:pt>
                <c:pt idx="800">
                  <c:v>9.591733155832344</c:v>
                </c:pt>
                <c:pt idx="801">
                  <c:v>5.0724530667197314</c:v>
                </c:pt>
                <c:pt idx="802">
                  <c:v>0.53881333138201626</c:v>
                </c:pt>
                <c:pt idx="803">
                  <c:v>-4.0091188659783938</c:v>
                </c:pt>
                <c:pt idx="804">
                  <c:v>-8.5712772089543705</c:v>
                </c:pt>
                <c:pt idx="805">
                  <c:v>-13.147596234363618</c:v>
                </c:pt>
                <c:pt idx="806">
                  <c:v>-17.738011317912196</c:v>
                </c:pt>
                <c:pt idx="807">
                  <c:v>-22.342458660108832</c:v>
                </c:pt>
                <c:pt idx="808">
                  <c:v>-26.96087527241275</c:v>
                </c:pt>
                <c:pt idx="809">
                  <c:v>-31.593198963622399</c:v>
                </c:pt>
                <c:pt idx="810">
                  <c:v>-36.239368326495764</c:v>
                </c:pt>
                <c:pt idx="811">
                  <c:v>-40.899322724606805</c:v>
                </c:pt>
                <c:pt idx="812">
                  <c:v>-45.573002279425282</c:v>
                </c:pt>
                <c:pt idx="813">
                  <c:v>-50.260347857628176</c:v>
                </c:pt>
                <c:pt idx="814">
                  <c:v>-54.961301058629942</c:v>
                </c:pt>
                <c:pt idx="815">
                  <c:v>-59.675804202338441</c:v>
                </c:pt>
                <c:pt idx="816">
                  <c:v>-64.40380031712084</c:v>
                </c:pt>
                <c:pt idx="817">
                  <c:v>-69.145233127993492</c:v>
                </c:pt>
                <c:pt idx="818">
                  <c:v>-73.900047045012116</c:v>
                </c:pt>
                <c:pt idx="819">
                  <c:v>-78.668187151881398</c:v>
                </c:pt>
                <c:pt idx="820">
                  <c:v>-83.449599194759116</c:v>
                </c:pt>
                <c:pt idx="821">
                  <c:v>-88.244229571272967</c:v>
                </c:pt>
                <c:pt idx="822">
                  <c:v>-93.052025319725317</c:v>
                </c:pt>
                <c:pt idx="823">
                  <c:v>-97.872934108504296</c:v>
                </c:pt>
                <c:pt idx="824">
                  <c:v>-102.70690422567804</c:v>
                </c:pt>
                <c:pt idx="825">
                  <c:v>-107.55388456878745</c:v>
                </c:pt>
                <c:pt idx="826">
                  <c:v>-112.41382463481716</c:v>
                </c:pt>
                <c:pt idx="827">
                  <c:v>-117.28667451035699</c:v>
                </c:pt>
                <c:pt idx="828">
                  <c:v>-122.17238486193776</c:v>
                </c:pt>
                <c:pt idx="829">
                  <c:v>-127.07090692655038</c:v>
                </c:pt>
                <c:pt idx="830">
                  <c:v>-131.98219250233308</c:v>
                </c:pt>
                <c:pt idx="831">
                  <c:v>-136.90619393943462</c:v>
                </c:pt>
                <c:pt idx="832">
                  <c:v>-141.8428641310428</c:v>
                </c:pt>
                <c:pt idx="833">
                  <c:v>-146.79215650458184</c:v>
                </c:pt>
                <c:pt idx="834">
                  <c:v>-151.75402501306553</c:v>
                </c:pt>
                <c:pt idx="835">
                  <c:v>-156.72842412661942</c:v>
                </c:pt>
                <c:pt idx="836">
                  <c:v>-161.71530882414868</c:v>
                </c:pt>
                <c:pt idx="837">
                  <c:v>-166.71463458517087</c:v>
                </c:pt>
                <c:pt idx="838">
                  <c:v>-171.72635738178951</c:v>
                </c:pt>
                <c:pt idx="839">
                  <c:v>-176.75043367082412</c:v>
                </c:pt>
                <c:pt idx="840">
                  <c:v>-181.78682038607906</c:v>
                </c:pt>
                <c:pt idx="841">
                  <c:v>-186.83547493076173</c:v>
                </c:pt>
                <c:pt idx="842">
                  <c:v>-191.89635517003353</c:v>
                </c:pt>
                <c:pt idx="843">
                  <c:v>-196.96941942370631</c:v>
                </c:pt>
                <c:pt idx="844">
                  <c:v>-202.05462645906573</c:v>
                </c:pt>
                <c:pt idx="845">
                  <c:v>-207.15193548383502</c:v>
                </c:pt>
                <c:pt idx="846">
                  <c:v>-212.26130613926057</c:v>
                </c:pt>
                <c:pt idx="847">
                  <c:v>-217.38269849333244</c:v>
                </c:pt>
                <c:pt idx="848">
                  <c:v>-222.51607303412379</c:v>
                </c:pt>
                <c:pt idx="849">
                  <c:v>-227.66139066325729</c:v>
                </c:pt>
                <c:pt idx="850">
                  <c:v>-232.81861268948853</c:v>
                </c:pt>
                <c:pt idx="851">
                  <c:v>-237.98770082241094</c:v>
                </c:pt>
                <c:pt idx="852">
                  <c:v>-243.16861716627068</c:v>
                </c:pt>
                <c:pt idx="853">
                  <c:v>-248.36132421390357</c:v>
                </c:pt>
                <c:pt idx="854">
                  <c:v>-253.56578484077272</c:v>
                </c:pt>
                <c:pt idx="855">
                  <c:v>-258.78196229912567</c:v>
                </c:pt>
                <c:pt idx="856">
                  <c:v>-264.00982021224934</c:v>
                </c:pt>
                <c:pt idx="857">
                  <c:v>-269.24932256883858</c:v>
                </c:pt>
                <c:pt idx="858">
                  <c:v>-274.50043371745789</c:v>
                </c:pt>
                <c:pt idx="859">
                  <c:v>-279.76311836111427</c:v>
                </c:pt>
                <c:pt idx="860">
                  <c:v>-285.03734155191933</c:v>
                </c:pt>
                <c:pt idx="861">
                  <c:v>-290.3230686858567</c:v>
                </c:pt>
                <c:pt idx="862">
                  <c:v>-295.62026549763675</c:v>
                </c:pt>
                <c:pt idx="863">
                  <c:v>-300.92889805565176</c:v>
                </c:pt>
                <c:pt idx="864">
                  <c:v>-306.24893275701595</c:v>
                </c:pt>
                <c:pt idx="865">
                  <c:v>-311.58033632270042</c:v>
                </c:pt>
                <c:pt idx="866">
                  <c:v>-316.92307579275064</c:v>
                </c:pt>
                <c:pt idx="867">
                  <c:v>-322.27711852159632</c:v>
                </c:pt>
                <c:pt idx="868">
                  <c:v>-327.64243217343812</c:v>
                </c:pt>
                <c:pt idx="869">
                  <c:v>-333.0189847177254</c:v>
                </c:pt>
                <c:pt idx="870">
                  <c:v>-338.40674442470504</c:v>
                </c:pt>
                <c:pt idx="871">
                  <c:v>-343.80567986106189</c:v>
                </c:pt>
                <c:pt idx="872">
                  <c:v>-349.21575988562392</c:v>
                </c:pt>
                <c:pt idx="873">
                  <c:v>-354.63695364515627</c:v>
                </c:pt>
                <c:pt idx="874">
                  <c:v>-360.06923057021936</c:v>
                </c:pt>
                <c:pt idx="875">
                  <c:v>-365.51256037110954</c:v>
                </c:pt>
                <c:pt idx="876">
                  <c:v>-370.96691303386285</c:v>
                </c:pt>
                <c:pt idx="877">
                  <c:v>-376.43225881633862</c:v>
                </c:pt>
                <c:pt idx="878">
                  <c:v>-381.90856824436378</c:v>
                </c:pt>
                <c:pt idx="879">
                  <c:v>-387.39581210795052</c:v>
                </c:pt>
                <c:pt idx="880">
                  <c:v>-392.89396145757757</c:v>
                </c:pt>
                <c:pt idx="881">
                  <c:v>-398.40298760053838</c:v>
                </c:pt>
                <c:pt idx="882">
                  <c:v>-403.9228620973513</c:v>
                </c:pt>
                <c:pt idx="883">
                  <c:v>-409.45355675823555</c:v>
                </c:pt>
                <c:pt idx="884">
                  <c:v>-414.99504363964274</c:v>
                </c:pt>
                <c:pt idx="885">
                  <c:v>-420.5472950408564</c:v>
                </c:pt>
                <c:pt idx="886">
                  <c:v>-426.11028350064237</c:v>
                </c:pt>
                <c:pt idx="887">
                  <c:v>-431.68398179396524</c:v>
                </c:pt>
                <c:pt idx="888">
                  <c:v>-437.26836292875305</c:v>
                </c:pt>
                <c:pt idx="889">
                  <c:v>-442.8634001427256</c:v>
                </c:pt>
                <c:pt idx="890">
                  <c:v>-448.46906690027015</c:v>
                </c:pt>
                <c:pt idx="891">
                  <c:v>-454.08533688937769</c:v>
                </c:pt>
                <c:pt idx="892">
                  <c:v>-459.71218401862393</c:v>
                </c:pt>
                <c:pt idx="893">
                  <c:v>-465.34958241420884</c:v>
                </c:pt>
                <c:pt idx="894">
                  <c:v>-470.99750641704111</c:v>
                </c:pt>
                <c:pt idx="895">
                  <c:v>-476.65593057987758</c:v>
                </c:pt>
                <c:pt idx="896">
                  <c:v>-482.32482966450266</c:v>
                </c:pt>
                <c:pt idx="897">
                  <c:v>-488.00417863896712</c:v>
                </c:pt>
                <c:pt idx="898">
                  <c:v>-493.69395267486004</c:v>
                </c:pt>
                <c:pt idx="899">
                  <c:v>-499.3941271446397</c:v>
                </c:pt>
                <c:pt idx="900">
                  <c:v>-505.10467761899793</c:v>
                </c:pt>
                <c:pt idx="901">
                  <c:v>-510.82557986427753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E-4C9F-AD37-03EEE84361BB}"/>
            </c:ext>
          </c:extLst>
        </c:ser>
        <c:ser>
          <c:idx val="3"/>
          <c:order val="3"/>
          <c:tx>
            <c:strRef>
              <c:f>'Updated Projections'!$J$1</c:f>
              <c:strCache>
                <c:ptCount val="1"/>
                <c:pt idx="0">
                  <c:v>Limite de Confiança Superior(Sum of payments per date)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'Updated Projections'!$F$2:$F$903</c:f>
              <c:numCache>
                <c:formatCode>yyyy\-mm\-dd;@</c:formatCode>
                <c:ptCount val="902"/>
                <c:pt idx="0">
                  <c:v>44878</c:v>
                </c:pt>
                <c:pt idx="1">
                  <c:v>44879</c:v>
                </c:pt>
                <c:pt idx="2">
                  <c:v>44880</c:v>
                </c:pt>
                <c:pt idx="3">
                  <c:v>44881</c:v>
                </c:pt>
                <c:pt idx="4">
                  <c:v>44882</c:v>
                </c:pt>
                <c:pt idx="5">
                  <c:v>44883</c:v>
                </c:pt>
                <c:pt idx="6">
                  <c:v>44884</c:v>
                </c:pt>
                <c:pt idx="7">
                  <c:v>44885</c:v>
                </c:pt>
                <c:pt idx="8">
                  <c:v>44886</c:v>
                </c:pt>
                <c:pt idx="9">
                  <c:v>44887</c:v>
                </c:pt>
                <c:pt idx="10">
                  <c:v>44888</c:v>
                </c:pt>
                <c:pt idx="11">
                  <c:v>44889</c:v>
                </c:pt>
                <c:pt idx="12">
                  <c:v>44890</c:v>
                </c:pt>
                <c:pt idx="13">
                  <c:v>44891</c:v>
                </c:pt>
                <c:pt idx="14">
                  <c:v>44892</c:v>
                </c:pt>
                <c:pt idx="15">
                  <c:v>44893</c:v>
                </c:pt>
                <c:pt idx="16">
                  <c:v>44894</c:v>
                </c:pt>
                <c:pt idx="17">
                  <c:v>44895</c:v>
                </c:pt>
                <c:pt idx="18">
                  <c:v>44896</c:v>
                </c:pt>
                <c:pt idx="19">
                  <c:v>44897</c:v>
                </c:pt>
                <c:pt idx="20">
                  <c:v>44898</c:v>
                </c:pt>
                <c:pt idx="21">
                  <c:v>44899</c:v>
                </c:pt>
                <c:pt idx="22">
                  <c:v>44900</c:v>
                </c:pt>
                <c:pt idx="23">
                  <c:v>44901</c:v>
                </c:pt>
                <c:pt idx="24">
                  <c:v>44902</c:v>
                </c:pt>
                <c:pt idx="25">
                  <c:v>44903</c:v>
                </c:pt>
                <c:pt idx="26">
                  <c:v>44904</c:v>
                </c:pt>
                <c:pt idx="27">
                  <c:v>44905</c:v>
                </c:pt>
                <c:pt idx="28">
                  <c:v>44906</c:v>
                </c:pt>
                <c:pt idx="29">
                  <c:v>44907</c:v>
                </c:pt>
                <c:pt idx="30">
                  <c:v>44908</c:v>
                </c:pt>
                <c:pt idx="31">
                  <c:v>44909</c:v>
                </c:pt>
                <c:pt idx="32">
                  <c:v>44910</c:v>
                </c:pt>
                <c:pt idx="33">
                  <c:v>44911</c:v>
                </c:pt>
                <c:pt idx="34">
                  <c:v>44912</c:v>
                </c:pt>
                <c:pt idx="35">
                  <c:v>44913</c:v>
                </c:pt>
                <c:pt idx="36">
                  <c:v>44914</c:v>
                </c:pt>
                <c:pt idx="37">
                  <c:v>44915</c:v>
                </c:pt>
                <c:pt idx="38">
                  <c:v>44916</c:v>
                </c:pt>
                <c:pt idx="39">
                  <c:v>44917</c:v>
                </c:pt>
                <c:pt idx="40">
                  <c:v>44918</c:v>
                </c:pt>
                <c:pt idx="41">
                  <c:v>44919</c:v>
                </c:pt>
                <c:pt idx="42">
                  <c:v>44920</c:v>
                </c:pt>
                <c:pt idx="43">
                  <c:v>44921</c:v>
                </c:pt>
                <c:pt idx="44">
                  <c:v>44922</c:v>
                </c:pt>
                <c:pt idx="45">
                  <c:v>44923</c:v>
                </c:pt>
                <c:pt idx="46">
                  <c:v>44924</c:v>
                </c:pt>
                <c:pt idx="47">
                  <c:v>44925</c:v>
                </c:pt>
                <c:pt idx="48">
                  <c:v>44926</c:v>
                </c:pt>
                <c:pt idx="49">
                  <c:v>44927</c:v>
                </c:pt>
                <c:pt idx="50">
                  <c:v>44928</c:v>
                </c:pt>
                <c:pt idx="51">
                  <c:v>44929</c:v>
                </c:pt>
                <c:pt idx="52">
                  <c:v>44930</c:v>
                </c:pt>
                <c:pt idx="53">
                  <c:v>44931</c:v>
                </c:pt>
                <c:pt idx="54">
                  <c:v>44932</c:v>
                </c:pt>
                <c:pt idx="55">
                  <c:v>44933</c:v>
                </c:pt>
                <c:pt idx="56">
                  <c:v>44934</c:v>
                </c:pt>
                <c:pt idx="57">
                  <c:v>44935</c:v>
                </c:pt>
                <c:pt idx="58">
                  <c:v>44936</c:v>
                </c:pt>
                <c:pt idx="59">
                  <c:v>44937</c:v>
                </c:pt>
                <c:pt idx="60">
                  <c:v>44938</c:v>
                </c:pt>
                <c:pt idx="61">
                  <c:v>44939</c:v>
                </c:pt>
                <c:pt idx="62">
                  <c:v>44940</c:v>
                </c:pt>
                <c:pt idx="63">
                  <c:v>44941</c:v>
                </c:pt>
                <c:pt idx="64">
                  <c:v>44942</c:v>
                </c:pt>
                <c:pt idx="65">
                  <c:v>44943</c:v>
                </c:pt>
                <c:pt idx="66">
                  <c:v>44944</c:v>
                </c:pt>
                <c:pt idx="67">
                  <c:v>44945</c:v>
                </c:pt>
                <c:pt idx="68">
                  <c:v>44946</c:v>
                </c:pt>
                <c:pt idx="69">
                  <c:v>44947</c:v>
                </c:pt>
                <c:pt idx="70">
                  <c:v>44948</c:v>
                </c:pt>
                <c:pt idx="71">
                  <c:v>44949</c:v>
                </c:pt>
                <c:pt idx="72">
                  <c:v>44950</c:v>
                </c:pt>
                <c:pt idx="73">
                  <c:v>44951</c:v>
                </c:pt>
                <c:pt idx="74">
                  <c:v>44952</c:v>
                </c:pt>
                <c:pt idx="75">
                  <c:v>44953</c:v>
                </c:pt>
                <c:pt idx="76">
                  <c:v>44954</c:v>
                </c:pt>
                <c:pt idx="77">
                  <c:v>44955</c:v>
                </c:pt>
                <c:pt idx="78">
                  <c:v>44956</c:v>
                </c:pt>
                <c:pt idx="79">
                  <c:v>44957</c:v>
                </c:pt>
                <c:pt idx="80">
                  <c:v>44958</c:v>
                </c:pt>
                <c:pt idx="81">
                  <c:v>44959</c:v>
                </c:pt>
                <c:pt idx="82">
                  <c:v>44960</c:v>
                </c:pt>
                <c:pt idx="83">
                  <c:v>44961</c:v>
                </c:pt>
                <c:pt idx="84">
                  <c:v>44962</c:v>
                </c:pt>
                <c:pt idx="85">
                  <c:v>44963</c:v>
                </c:pt>
                <c:pt idx="86">
                  <c:v>44964</c:v>
                </c:pt>
                <c:pt idx="87">
                  <c:v>44965</c:v>
                </c:pt>
                <c:pt idx="88">
                  <c:v>44966</c:v>
                </c:pt>
                <c:pt idx="89">
                  <c:v>44967</c:v>
                </c:pt>
                <c:pt idx="90">
                  <c:v>44968</c:v>
                </c:pt>
                <c:pt idx="91">
                  <c:v>44969</c:v>
                </c:pt>
                <c:pt idx="92">
                  <c:v>44970</c:v>
                </c:pt>
                <c:pt idx="93">
                  <c:v>44971</c:v>
                </c:pt>
                <c:pt idx="94">
                  <c:v>44972</c:v>
                </c:pt>
                <c:pt idx="95">
                  <c:v>44973</c:v>
                </c:pt>
                <c:pt idx="96">
                  <c:v>44974</c:v>
                </c:pt>
                <c:pt idx="97">
                  <c:v>44975</c:v>
                </c:pt>
                <c:pt idx="98">
                  <c:v>44976</c:v>
                </c:pt>
                <c:pt idx="99">
                  <c:v>44977</c:v>
                </c:pt>
                <c:pt idx="100">
                  <c:v>44978</c:v>
                </c:pt>
                <c:pt idx="101">
                  <c:v>44979</c:v>
                </c:pt>
                <c:pt idx="102">
                  <c:v>44980</c:v>
                </c:pt>
                <c:pt idx="103">
                  <c:v>44981</c:v>
                </c:pt>
                <c:pt idx="104">
                  <c:v>44982</c:v>
                </c:pt>
                <c:pt idx="105">
                  <c:v>44983</c:v>
                </c:pt>
                <c:pt idx="106">
                  <c:v>44984</c:v>
                </c:pt>
                <c:pt idx="107">
                  <c:v>44985</c:v>
                </c:pt>
                <c:pt idx="108">
                  <c:v>44986</c:v>
                </c:pt>
                <c:pt idx="109">
                  <c:v>44987</c:v>
                </c:pt>
                <c:pt idx="110">
                  <c:v>44988</c:v>
                </c:pt>
                <c:pt idx="111">
                  <c:v>44989</c:v>
                </c:pt>
                <c:pt idx="112">
                  <c:v>44990</c:v>
                </c:pt>
                <c:pt idx="113">
                  <c:v>44991</c:v>
                </c:pt>
                <c:pt idx="114">
                  <c:v>44992</c:v>
                </c:pt>
                <c:pt idx="115">
                  <c:v>44993</c:v>
                </c:pt>
                <c:pt idx="116">
                  <c:v>44994</c:v>
                </c:pt>
                <c:pt idx="117">
                  <c:v>44995</c:v>
                </c:pt>
                <c:pt idx="118">
                  <c:v>44996</c:v>
                </c:pt>
                <c:pt idx="119">
                  <c:v>44997</c:v>
                </c:pt>
                <c:pt idx="120">
                  <c:v>44998</c:v>
                </c:pt>
                <c:pt idx="121">
                  <c:v>44999</c:v>
                </c:pt>
                <c:pt idx="122">
                  <c:v>45000</c:v>
                </c:pt>
                <c:pt idx="123">
                  <c:v>45001</c:v>
                </c:pt>
                <c:pt idx="124">
                  <c:v>45002</c:v>
                </c:pt>
                <c:pt idx="125">
                  <c:v>45003</c:v>
                </c:pt>
                <c:pt idx="126">
                  <c:v>45004</c:v>
                </c:pt>
                <c:pt idx="127">
                  <c:v>45005</c:v>
                </c:pt>
                <c:pt idx="128">
                  <c:v>45006</c:v>
                </c:pt>
                <c:pt idx="129">
                  <c:v>45007</c:v>
                </c:pt>
                <c:pt idx="130">
                  <c:v>45008</c:v>
                </c:pt>
                <c:pt idx="131">
                  <c:v>45009</c:v>
                </c:pt>
                <c:pt idx="132">
                  <c:v>45010</c:v>
                </c:pt>
                <c:pt idx="133">
                  <c:v>45011</c:v>
                </c:pt>
                <c:pt idx="134">
                  <c:v>45012</c:v>
                </c:pt>
                <c:pt idx="135">
                  <c:v>45013</c:v>
                </c:pt>
                <c:pt idx="136">
                  <c:v>45014</c:v>
                </c:pt>
                <c:pt idx="137">
                  <c:v>45015</c:v>
                </c:pt>
                <c:pt idx="138">
                  <c:v>45016</c:v>
                </c:pt>
                <c:pt idx="139">
                  <c:v>45017</c:v>
                </c:pt>
                <c:pt idx="140">
                  <c:v>45018</c:v>
                </c:pt>
                <c:pt idx="141">
                  <c:v>45019</c:v>
                </c:pt>
                <c:pt idx="142">
                  <c:v>45020</c:v>
                </c:pt>
                <c:pt idx="143">
                  <c:v>45021</c:v>
                </c:pt>
                <c:pt idx="144">
                  <c:v>45022</c:v>
                </c:pt>
                <c:pt idx="145">
                  <c:v>45023</c:v>
                </c:pt>
                <c:pt idx="146">
                  <c:v>45024</c:v>
                </c:pt>
                <c:pt idx="147">
                  <c:v>45025</c:v>
                </c:pt>
                <c:pt idx="148">
                  <c:v>45026</c:v>
                </c:pt>
                <c:pt idx="149">
                  <c:v>45027</c:v>
                </c:pt>
                <c:pt idx="150">
                  <c:v>45028</c:v>
                </c:pt>
                <c:pt idx="151">
                  <c:v>45029</c:v>
                </c:pt>
                <c:pt idx="152">
                  <c:v>45030</c:v>
                </c:pt>
                <c:pt idx="153">
                  <c:v>45031</c:v>
                </c:pt>
                <c:pt idx="154">
                  <c:v>45032</c:v>
                </c:pt>
                <c:pt idx="155">
                  <c:v>45033</c:v>
                </c:pt>
                <c:pt idx="156">
                  <c:v>45034</c:v>
                </c:pt>
                <c:pt idx="157">
                  <c:v>45035</c:v>
                </c:pt>
                <c:pt idx="158">
                  <c:v>45036</c:v>
                </c:pt>
                <c:pt idx="159">
                  <c:v>45037</c:v>
                </c:pt>
                <c:pt idx="160">
                  <c:v>45038</c:v>
                </c:pt>
                <c:pt idx="161">
                  <c:v>45039</c:v>
                </c:pt>
                <c:pt idx="162">
                  <c:v>45040</c:v>
                </c:pt>
                <c:pt idx="163">
                  <c:v>45041</c:v>
                </c:pt>
                <c:pt idx="164">
                  <c:v>45042</c:v>
                </c:pt>
                <c:pt idx="165">
                  <c:v>45043</c:v>
                </c:pt>
                <c:pt idx="166">
                  <c:v>45044</c:v>
                </c:pt>
                <c:pt idx="167">
                  <c:v>45045</c:v>
                </c:pt>
                <c:pt idx="168">
                  <c:v>45046</c:v>
                </c:pt>
                <c:pt idx="169">
                  <c:v>45047</c:v>
                </c:pt>
                <c:pt idx="170">
                  <c:v>45048</c:v>
                </c:pt>
                <c:pt idx="171">
                  <c:v>45049</c:v>
                </c:pt>
                <c:pt idx="172">
                  <c:v>45050</c:v>
                </c:pt>
                <c:pt idx="173">
                  <c:v>45051</c:v>
                </c:pt>
                <c:pt idx="174">
                  <c:v>45052</c:v>
                </c:pt>
                <c:pt idx="175">
                  <c:v>45053</c:v>
                </c:pt>
                <c:pt idx="176">
                  <c:v>45054</c:v>
                </c:pt>
                <c:pt idx="177">
                  <c:v>45055</c:v>
                </c:pt>
                <c:pt idx="178">
                  <c:v>45056</c:v>
                </c:pt>
                <c:pt idx="179">
                  <c:v>45057</c:v>
                </c:pt>
                <c:pt idx="180">
                  <c:v>45058</c:v>
                </c:pt>
                <c:pt idx="181">
                  <c:v>45059</c:v>
                </c:pt>
                <c:pt idx="182">
                  <c:v>45060</c:v>
                </c:pt>
                <c:pt idx="183">
                  <c:v>45061</c:v>
                </c:pt>
                <c:pt idx="184">
                  <c:v>45062</c:v>
                </c:pt>
                <c:pt idx="185">
                  <c:v>45063</c:v>
                </c:pt>
                <c:pt idx="186">
                  <c:v>45064</c:v>
                </c:pt>
                <c:pt idx="187">
                  <c:v>45065</c:v>
                </c:pt>
                <c:pt idx="188">
                  <c:v>45066</c:v>
                </c:pt>
                <c:pt idx="189">
                  <c:v>45067</c:v>
                </c:pt>
                <c:pt idx="190">
                  <c:v>45068</c:v>
                </c:pt>
                <c:pt idx="191">
                  <c:v>45069</c:v>
                </c:pt>
                <c:pt idx="192">
                  <c:v>45070</c:v>
                </c:pt>
                <c:pt idx="193">
                  <c:v>45071</c:v>
                </c:pt>
                <c:pt idx="194">
                  <c:v>45072</c:v>
                </c:pt>
                <c:pt idx="195">
                  <c:v>45073</c:v>
                </c:pt>
                <c:pt idx="196">
                  <c:v>45074</c:v>
                </c:pt>
                <c:pt idx="197">
                  <c:v>45075</c:v>
                </c:pt>
                <c:pt idx="198">
                  <c:v>45076</c:v>
                </c:pt>
                <c:pt idx="199">
                  <c:v>45077</c:v>
                </c:pt>
                <c:pt idx="200">
                  <c:v>45078</c:v>
                </c:pt>
                <c:pt idx="201">
                  <c:v>45079</c:v>
                </c:pt>
                <c:pt idx="202">
                  <c:v>45080</c:v>
                </c:pt>
                <c:pt idx="203">
                  <c:v>45081</c:v>
                </c:pt>
                <c:pt idx="204">
                  <c:v>45082</c:v>
                </c:pt>
                <c:pt idx="205">
                  <c:v>45083</c:v>
                </c:pt>
                <c:pt idx="206">
                  <c:v>45084</c:v>
                </c:pt>
                <c:pt idx="207">
                  <c:v>45085</c:v>
                </c:pt>
                <c:pt idx="208">
                  <c:v>45086</c:v>
                </c:pt>
                <c:pt idx="209">
                  <c:v>45087</c:v>
                </c:pt>
                <c:pt idx="210">
                  <c:v>45088</c:v>
                </c:pt>
                <c:pt idx="211">
                  <c:v>45089</c:v>
                </c:pt>
                <c:pt idx="212">
                  <c:v>45090</c:v>
                </c:pt>
                <c:pt idx="213">
                  <c:v>45091</c:v>
                </c:pt>
                <c:pt idx="214">
                  <c:v>45092</c:v>
                </c:pt>
                <c:pt idx="215">
                  <c:v>45093</c:v>
                </c:pt>
                <c:pt idx="216">
                  <c:v>45094</c:v>
                </c:pt>
                <c:pt idx="217">
                  <c:v>45095</c:v>
                </c:pt>
                <c:pt idx="218">
                  <c:v>45096</c:v>
                </c:pt>
                <c:pt idx="219">
                  <c:v>45097</c:v>
                </c:pt>
                <c:pt idx="220">
                  <c:v>45098</c:v>
                </c:pt>
                <c:pt idx="221">
                  <c:v>45099</c:v>
                </c:pt>
                <c:pt idx="222">
                  <c:v>45100</c:v>
                </c:pt>
                <c:pt idx="223">
                  <c:v>45101</c:v>
                </c:pt>
                <c:pt idx="224">
                  <c:v>45102</c:v>
                </c:pt>
                <c:pt idx="225">
                  <c:v>45103</c:v>
                </c:pt>
                <c:pt idx="226">
                  <c:v>45104</c:v>
                </c:pt>
                <c:pt idx="227">
                  <c:v>45105</c:v>
                </c:pt>
                <c:pt idx="228">
                  <c:v>45106</c:v>
                </c:pt>
                <c:pt idx="229">
                  <c:v>45107</c:v>
                </c:pt>
                <c:pt idx="230">
                  <c:v>45108</c:v>
                </c:pt>
                <c:pt idx="231">
                  <c:v>45109</c:v>
                </c:pt>
                <c:pt idx="232">
                  <c:v>45110</c:v>
                </c:pt>
                <c:pt idx="233">
                  <c:v>45111</c:v>
                </c:pt>
                <c:pt idx="234">
                  <c:v>45112</c:v>
                </c:pt>
                <c:pt idx="235">
                  <c:v>45113</c:v>
                </c:pt>
                <c:pt idx="236">
                  <c:v>45114</c:v>
                </c:pt>
                <c:pt idx="237">
                  <c:v>45115</c:v>
                </c:pt>
                <c:pt idx="238">
                  <c:v>45116</c:v>
                </c:pt>
                <c:pt idx="239">
                  <c:v>45117</c:v>
                </c:pt>
                <c:pt idx="240">
                  <c:v>45118</c:v>
                </c:pt>
                <c:pt idx="241">
                  <c:v>45119</c:v>
                </c:pt>
                <c:pt idx="242">
                  <c:v>45120</c:v>
                </c:pt>
                <c:pt idx="243">
                  <c:v>45121</c:v>
                </c:pt>
                <c:pt idx="244">
                  <c:v>45122</c:v>
                </c:pt>
                <c:pt idx="245">
                  <c:v>45123</c:v>
                </c:pt>
                <c:pt idx="246">
                  <c:v>45124</c:v>
                </c:pt>
                <c:pt idx="247">
                  <c:v>45125</c:v>
                </c:pt>
                <c:pt idx="248">
                  <c:v>45126</c:v>
                </c:pt>
                <c:pt idx="249">
                  <c:v>45127</c:v>
                </c:pt>
                <c:pt idx="250">
                  <c:v>45128</c:v>
                </c:pt>
                <c:pt idx="251">
                  <c:v>45129</c:v>
                </c:pt>
                <c:pt idx="252">
                  <c:v>45130</c:v>
                </c:pt>
                <c:pt idx="253">
                  <c:v>45131</c:v>
                </c:pt>
                <c:pt idx="254">
                  <c:v>45132</c:v>
                </c:pt>
                <c:pt idx="255">
                  <c:v>45133</c:v>
                </c:pt>
                <c:pt idx="256">
                  <c:v>45134</c:v>
                </c:pt>
                <c:pt idx="257">
                  <c:v>45135</c:v>
                </c:pt>
                <c:pt idx="258">
                  <c:v>45136</c:v>
                </c:pt>
                <c:pt idx="259">
                  <c:v>45137</c:v>
                </c:pt>
                <c:pt idx="260">
                  <c:v>45138</c:v>
                </c:pt>
                <c:pt idx="261">
                  <c:v>45139</c:v>
                </c:pt>
                <c:pt idx="262">
                  <c:v>45140</c:v>
                </c:pt>
                <c:pt idx="263">
                  <c:v>45141</c:v>
                </c:pt>
                <c:pt idx="264">
                  <c:v>45142</c:v>
                </c:pt>
                <c:pt idx="265">
                  <c:v>45143</c:v>
                </c:pt>
                <c:pt idx="266">
                  <c:v>45144</c:v>
                </c:pt>
                <c:pt idx="267">
                  <c:v>45145</c:v>
                </c:pt>
                <c:pt idx="268">
                  <c:v>45146</c:v>
                </c:pt>
                <c:pt idx="269">
                  <c:v>45147</c:v>
                </c:pt>
                <c:pt idx="270">
                  <c:v>45148</c:v>
                </c:pt>
                <c:pt idx="271">
                  <c:v>45149</c:v>
                </c:pt>
                <c:pt idx="272">
                  <c:v>45150</c:v>
                </c:pt>
                <c:pt idx="273">
                  <c:v>45151</c:v>
                </c:pt>
                <c:pt idx="274">
                  <c:v>45152</c:v>
                </c:pt>
                <c:pt idx="275">
                  <c:v>45153</c:v>
                </c:pt>
                <c:pt idx="276">
                  <c:v>45154</c:v>
                </c:pt>
                <c:pt idx="277">
                  <c:v>45155</c:v>
                </c:pt>
                <c:pt idx="278">
                  <c:v>45156</c:v>
                </c:pt>
                <c:pt idx="279">
                  <c:v>45157</c:v>
                </c:pt>
                <c:pt idx="280">
                  <c:v>45158</c:v>
                </c:pt>
                <c:pt idx="281">
                  <c:v>45159</c:v>
                </c:pt>
                <c:pt idx="282">
                  <c:v>45160</c:v>
                </c:pt>
                <c:pt idx="283">
                  <c:v>45161</c:v>
                </c:pt>
                <c:pt idx="284">
                  <c:v>45162</c:v>
                </c:pt>
                <c:pt idx="285">
                  <c:v>45163</c:v>
                </c:pt>
                <c:pt idx="286">
                  <c:v>45164</c:v>
                </c:pt>
                <c:pt idx="287">
                  <c:v>45165</c:v>
                </c:pt>
                <c:pt idx="288">
                  <c:v>45166</c:v>
                </c:pt>
                <c:pt idx="289">
                  <c:v>45167</c:v>
                </c:pt>
                <c:pt idx="290">
                  <c:v>45168</c:v>
                </c:pt>
                <c:pt idx="291">
                  <c:v>45169</c:v>
                </c:pt>
                <c:pt idx="292">
                  <c:v>45170</c:v>
                </c:pt>
                <c:pt idx="293">
                  <c:v>45171</c:v>
                </c:pt>
                <c:pt idx="294">
                  <c:v>45172</c:v>
                </c:pt>
                <c:pt idx="295">
                  <c:v>45173</c:v>
                </c:pt>
                <c:pt idx="296">
                  <c:v>45174</c:v>
                </c:pt>
                <c:pt idx="297">
                  <c:v>45175</c:v>
                </c:pt>
                <c:pt idx="298">
                  <c:v>45176</c:v>
                </c:pt>
                <c:pt idx="299">
                  <c:v>45177</c:v>
                </c:pt>
                <c:pt idx="300">
                  <c:v>45178</c:v>
                </c:pt>
                <c:pt idx="301">
                  <c:v>45179</c:v>
                </c:pt>
                <c:pt idx="302">
                  <c:v>45180</c:v>
                </c:pt>
                <c:pt idx="303">
                  <c:v>45181</c:v>
                </c:pt>
                <c:pt idx="304">
                  <c:v>45182</c:v>
                </c:pt>
                <c:pt idx="305">
                  <c:v>45183</c:v>
                </c:pt>
                <c:pt idx="306">
                  <c:v>45184</c:v>
                </c:pt>
                <c:pt idx="307">
                  <c:v>45185</c:v>
                </c:pt>
                <c:pt idx="308">
                  <c:v>45186</c:v>
                </c:pt>
                <c:pt idx="309">
                  <c:v>45187</c:v>
                </c:pt>
                <c:pt idx="310">
                  <c:v>45188</c:v>
                </c:pt>
                <c:pt idx="311">
                  <c:v>45189</c:v>
                </c:pt>
                <c:pt idx="312">
                  <c:v>45190</c:v>
                </c:pt>
                <c:pt idx="313">
                  <c:v>45191</c:v>
                </c:pt>
                <c:pt idx="314">
                  <c:v>45192</c:v>
                </c:pt>
                <c:pt idx="315">
                  <c:v>45193</c:v>
                </c:pt>
                <c:pt idx="316">
                  <c:v>45194</c:v>
                </c:pt>
                <c:pt idx="317">
                  <c:v>45195</c:v>
                </c:pt>
                <c:pt idx="318">
                  <c:v>45196</c:v>
                </c:pt>
                <c:pt idx="319">
                  <c:v>45197</c:v>
                </c:pt>
                <c:pt idx="320">
                  <c:v>45198</c:v>
                </c:pt>
                <c:pt idx="321">
                  <c:v>45199</c:v>
                </c:pt>
                <c:pt idx="322">
                  <c:v>45200</c:v>
                </c:pt>
                <c:pt idx="323">
                  <c:v>45201</c:v>
                </c:pt>
                <c:pt idx="324">
                  <c:v>45202</c:v>
                </c:pt>
                <c:pt idx="325">
                  <c:v>45203</c:v>
                </c:pt>
                <c:pt idx="326">
                  <c:v>45204</c:v>
                </c:pt>
                <c:pt idx="327">
                  <c:v>45205</c:v>
                </c:pt>
                <c:pt idx="328">
                  <c:v>45206</c:v>
                </c:pt>
                <c:pt idx="329">
                  <c:v>45207</c:v>
                </c:pt>
                <c:pt idx="330">
                  <c:v>45208</c:v>
                </c:pt>
                <c:pt idx="331">
                  <c:v>45209</c:v>
                </c:pt>
                <c:pt idx="332">
                  <c:v>45210</c:v>
                </c:pt>
                <c:pt idx="333">
                  <c:v>45211</c:v>
                </c:pt>
                <c:pt idx="334">
                  <c:v>45212</c:v>
                </c:pt>
                <c:pt idx="335">
                  <c:v>45213</c:v>
                </c:pt>
                <c:pt idx="336">
                  <c:v>45214</c:v>
                </c:pt>
                <c:pt idx="337">
                  <c:v>45215</c:v>
                </c:pt>
                <c:pt idx="338">
                  <c:v>45216</c:v>
                </c:pt>
                <c:pt idx="339">
                  <c:v>45217</c:v>
                </c:pt>
                <c:pt idx="340">
                  <c:v>45218</c:v>
                </c:pt>
                <c:pt idx="341">
                  <c:v>45219</c:v>
                </c:pt>
                <c:pt idx="342">
                  <c:v>45220</c:v>
                </c:pt>
                <c:pt idx="343">
                  <c:v>45221</c:v>
                </c:pt>
                <c:pt idx="344">
                  <c:v>45222</c:v>
                </c:pt>
                <c:pt idx="345">
                  <c:v>45223</c:v>
                </c:pt>
                <c:pt idx="346">
                  <c:v>45224</c:v>
                </c:pt>
                <c:pt idx="347">
                  <c:v>45225</c:v>
                </c:pt>
                <c:pt idx="348">
                  <c:v>45226</c:v>
                </c:pt>
                <c:pt idx="349">
                  <c:v>45227</c:v>
                </c:pt>
                <c:pt idx="350">
                  <c:v>45228</c:v>
                </c:pt>
                <c:pt idx="351">
                  <c:v>45229</c:v>
                </c:pt>
                <c:pt idx="352">
                  <c:v>45230</c:v>
                </c:pt>
                <c:pt idx="353">
                  <c:v>45231</c:v>
                </c:pt>
                <c:pt idx="354">
                  <c:v>45232</c:v>
                </c:pt>
                <c:pt idx="355">
                  <c:v>45233</c:v>
                </c:pt>
                <c:pt idx="356">
                  <c:v>45234</c:v>
                </c:pt>
                <c:pt idx="357">
                  <c:v>45235</c:v>
                </c:pt>
                <c:pt idx="358">
                  <c:v>45236</c:v>
                </c:pt>
                <c:pt idx="359">
                  <c:v>45237</c:v>
                </c:pt>
                <c:pt idx="360">
                  <c:v>45238</c:v>
                </c:pt>
                <c:pt idx="361">
                  <c:v>45239</c:v>
                </c:pt>
                <c:pt idx="362">
                  <c:v>45240</c:v>
                </c:pt>
                <c:pt idx="363">
                  <c:v>45241</c:v>
                </c:pt>
                <c:pt idx="364">
                  <c:v>45242</c:v>
                </c:pt>
                <c:pt idx="365">
                  <c:v>45243</c:v>
                </c:pt>
                <c:pt idx="366">
                  <c:v>45244</c:v>
                </c:pt>
                <c:pt idx="367">
                  <c:v>45245</c:v>
                </c:pt>
                <c:pt idx="368">
                  <c:v>45246</c:v>
                </c:pt>
                <c:pt idx="369">
                  <c:v>45247</c:v>
                </c:pt>
                <c:pt idx="370">
                  <c:v>45248</c:v>
                </c:pt>
                <c:pt idx="371">
                  <c:v>45249</c:v>
                </c:pt>
                <c:pt idx="372">
                  <c:v>45250</c:v>
                </c:pt>
                <c:pt idx="373">
                  <c:v>45251</c:v>
                </c:pt>
                <c:pt idx="374">
                  <c:v>45252</c:v>
                </c:pt>
                <c:pt idx="375">
                  <c:v>45253</c:v>
                </c:pt>
                <c:pt idx="376">
                  <c:v>45254</c:v>
                </c:pt>
                <c:pt idx="377">
                  <c:v>45255</c:v>
                </c:pt>
                <c:pt idx="378">
                  <c:v>45256</c:v>
                </c:pt>
                <c:pt idx="379">
                  <c:v>45257</c:v>
                </c:pt>
                <c:pt idx="380">
                  <c:v>45258</c:v>
                </c:pt>
                <c:pt idx="381">
                  <c:v>45259</c:v>
                </c:pt>
                <c:pt idx="382">
                  <c:v>45260</c:v>
                </c:pt>
                <c:pt idx="383">
                  <c:v>45261</c:v>
                </c:pt>
                <c:pt idx="384">
                  <c:v>45262</c:v>
                </c:pt>
                <c:pt idx="385">
                  <c:v>45263</c:v>
                </c:pt>
                <c:pt idx="386">
                  <c:v>45264</c:v>
                </c:pt>
                <c:pt idx="387">
                  <c:v>45265</c:v>
                </c:pt>
                <c:pt idx="388">
                  <c:v>45266</c:v>
                </c:pt>
                <c:pt idx="389">
                  <c:v>45267</c:v>
                </c:pt>
                <c:pt idx="390">
                  <c:v>45268</c:v>
                </c:pt>
                <c:pt idx="391">
                  <c:v>45269</c:v>
                </c:pt>
                <c:pt idx="392">
                  <c:v>45270</c:v>
                </c:pt>
                <c:pt idx="393">
                  <c:v>45271</c:v>
                </c:pt>
                <c:pt idx="394">
                  <c:v>45272</c:v>
                </c:pt>
                <c:pt idx="395">
                  <c:v>45273</c:v>
                </c:pt>
                <c:pt idx="396">
                  <c:v>45274</c:v>
                </c:pt>
                <c:pt idx="397">
                  <c:v>45275</c:v>
                </c:pt>
                <c:pt idx="398">
                  <c:v>45276</c:v>
                </c:pt>
                <c:pt idx="399">
                  <c:v>45277</c:v>
                </c:pt>
                <c:pt idx="400">
                  <c:v>45278</c:v>
                </c:pt>
                <c:pt idx="401">
                  <c:v>45279</c:v>
                </c:pt>
                <c:pt idx="402">
                  <c:v>45280</c:v>
                </c:pt>
                <c:pt idx="403">
                  <c:v>45281</c:v>
                </c:pt>
                <c:pt idx="404">
                  <c:v>45282</c:v>
                </c:pt>
                <c:pt idx="405">
                  <c:v>45283</c:v>
                </c:pt>
                <c:pt idx="406">
                  <c:v>45284</c:v>
                </c:pt>
                <c:pt idx="407">
                  <c:v>45285</c:v>
                </c:pt>
                <c:pt idx="408">
                  <c:v>45286</c:v>
                </c:pt>
                <c:pt idx="409">
                  <c:v>45287</c:v>
                </c:pt>
                <c:pt idx="410">
                  <c:v>45288</c:v>
                </c:pt>
                <c:pt idx="411">
                  <c:v>45289</c:v>
                </c:pt>
                <c:pt idx="412">
                  <c:v>45290</c:v>
                </c:pt>
                <c:pt idx="413">
                  <c:v>45291</c:v>
                </c:pt>
                <c:pt idx="414">
                  <c:v>45292</c:v>
                </c:pt>
                <c:pt idx="415">
                  <c:v>45293</c:v>
                </c:pt>
                <c:pt idx="416">
                  <c:v>45294</c:v>
                </c:pt>
                <c:pt idx="417">
                  <c:v>45295</c:v>
                </c:pt>
                <c:pt idx="418">
                  <c:v>45296</c:v>
                </c:pt>
                <c:pt idx="419">
                  <c:v>45297</c:v>
                </c:pt>
                <c:pt idx="420">
                  <c:v>45298</c:v>
                </c:pt>
                <c:pt idx="421">
                  <c:v>45299</c:v>
                </c:pt>
                <c:pt idx="422">
                  <c:v>45300</c:v>
                </c:pt>
                <c:pt idx="423">
                  <c:v>45301</c:v>
                </c:pt>
                <c:pt idx="424">
                  <c:v>45302</c:v>
                </c:pt>
                <c:pt idx="425">
                  <c:v>45303</c:v>
                </c:pt>
                <c:pt idx="426">
                  <c:v>45304</c:v>
                </c:pt>
                <c:pt idx="427">
                  <c:v>45305</c:v>
                </c:pt>
                <c:pt idx="428">
                  <c:v>45306</c:v>
                </c:pt>
                <c:pt idx="429">
                  <c:v>45307</c:v>
                </c:pt>
                <c:pt idx="430">
                  <c:v>45308</c:v>
                </c:pt>
                <c:pt idx="431">
                  <c:v>45309</c:v>
                </c:pt>
                <c:pt idx="432">
                  <c:v>45310</c:v>
                </c:pt>
                <c:pt idx="433">
                  <c:v>45311</c:v>
                </c:pt>
                <c:pt idx="434">
                  <c:v>45312</c:v>
                </c:pt>
                <c:pt idx="435">
                  <c:v>45313</c:v>
                </c:pt>
                <c:pt idx="436">
                  <c:v>45314</c:v>
                </c:pt>
                <c:pt idx="437">
                  <c:v>45315</c:v>
                </c:pt>
                <c:pt idx="438">
                  <c:v>45316</c:v>
                </c:pt>
                <c:pt idx="439">
                  <c:v>45317</c:v>
                </c:pt>
                <c:pt idx="440">
                  <c:v>45318</c:v>
                </c:pt>
                <c:pt idx="441">
                  <c:v>45319</c:v>
                </c:pt>
                <c:pt idx="442">
                  <c:v>45320</c:v>
                </c:pt>
                <c:pt idx="443">
                  <c:v>45321</c:v>
                </c:pt>
                <c:pt idx="444">
                  <c:v>45322</c:v>
                </c:pt>
                <c:pt idx="445">
                  <c:v>45323</c:v>
                </c:pt>
                <c:pt idx="446">
                  <c:v>45324</c:v>
                </c:pt>
                <c:pt idx="447">
                  <c:v>45325</c:v>
                </c:pt>
                <c:pt idx="448">
                  <c:v>45326</c:v>
                </c:pt>
                <c:pt idx="449">
                  <c:v>45327</c:v>
                </c:pt>
                <c:pt idx="450">
                  <c:v>45328</c:v>
                </c:pt>
                <c:pt idx="451">
                  <c:v>45329</c:v>
                </c:pt>
                <c:pt idx="452">
                  <c:v>45330</c:v>
                </c:pt>
                <c:pt idx="453">
                  <c:v>45331</c:v>
                </c:pt>
                <c:pt idx="454">
                  <c:v>45332</c:v>
                </c:pt>
                <c:pt idx="455">
                  <c:v>45333</c:v>
                </c:pt>
                <c:pt idx="456">
                  <c:v>45334</c:v>
                </c:pt>
                <c:pt idx="457">
                  <c:v>45335</c:v>
                </c:pt>
                <c:pt idx="458">
                  <c:v>45336</c:v>
                </c:pt>
                <c:pt idx="459">
                  <c:v>45337</c:v>
                </c:pt>
                <c:pt idx="460">
                  <c:v>45338</c:v>
                </c:pt>
                <c:pt idx="461">
                  <c:v>45339</c:v>
                </c:pt>
                <c:pt idx="462">
                  <c:v>45340</c:v>
                </c:pt>
                <c:pt idx="463">
                  <c:v>45341</c:v>
                </c:pt>
                <c:pt idx="464">
                  <c:v>45342</c:v>
                </c:pt>
                <c:pt idx="465">
                  <c:v>45343</c:v>
                </c:pt>
                <c:pt idx="466">
                  <c:v>45344</c:v>
                </c:pt>
                <c:pt idx="467">
                  <c:v>45345</c:v>
                </c:pt>
                <c:pt idx="468">
                  <c:v>45346</c:v>
                </c:pt>
                <c:pt idx="469">
                  <c:v>45347</c:v>
                </c:pt>
                <c:pt idx="470">
                  <c:v>45348</c:v>
                </c:pt>
                <c:pt idx="471">
                  <c:v>45349</c:v>
                </c:pt>
                <c:pt idx="472">
                  <c:v>45350</c:v>
                </c:pt>
                <c:pt idx="473">
                  <c:v>45351</c:v>
                </c:pt>
                <c:pt idx="474">
                  <c:v>45352</c:v>
                </c:pt>
                <c:pt idx="475">
                  <c:v>45353</c:v>
                </c:pt>
                <c:pt idx="476">
                  <c:v>45354</c:v>
                </c:pt>
                <c:pt idx="477">
                  <c:v>45355</c:v>
                </c:pt>
                <c:pt idx="478">
                  <c:v>45356</c:v>
                </c:pt>
                <c:pt idx="479">
                  <c:v>45357</c:v>
                </c:pt>
                <c:pt idx="480">
                  <c:v>45358</c:v>
                </c:pt>
                <c:pt idx="481">
                  <c:v>45359</c:v>
                </c:pt>
                <c:pt idx="482">
                  <c:v>45360</c:v>
                </c:pt>
                <c:pt idx="483">
                  <c:v>45361</c:v>
                </c:pt>
                <c:pt idx="484">
                  <c:v>45362</c:v>
                </c:pt>
                <c:pt idx="485">
                  <c:v>45363</c:v>
                </c:pt>
                <c:pt idx="486">
                  <c:v>45364</c:v>
                </c:pt>
                <c:pt idx="487">
                  <c:v>45365</c:v>
                </c:pt>
                <c:pt idx="488">
                  <c:v>45366</c:v>
                </c:pt>
                <c:pt idx="489">
                  <c:v>45367</c:v>
                </c:pt>
                <c:pt idx="490">
                  <c:v>45368</c:v>
                </c:pt>
                <c:pt idx="491">
                  <c:v>45369</c:v>
                </c:pt>
                <c:pt idx="492">
                  <c:v>45370</c:v>
                </c:pt>
                <c:pt idx="493">
                  <c:v>45371</c:v>
                </c:pt>
                <c:pt idx="494">
                  <c:v>45372</c:v>
                </c:pt>
                <c:pt idx="495">
                  <c:v>45373</c:v>
                </c:pt>
                <c:pt idx="496">
                  <c:v>45374</c:v>
                </c:pt>
                <c:pt idx="497">
                  <c:v>45375</c:v>
                </c:pt>
                <c:pt idx="498">
                  <c:v>45376</c:v>
                </c:pt>
                <c:pt idx="499">
                  <c:v>45377</c:v>
                </c:pt>
                <c:pt idx="500">
                  <c:v>45378</c:v>
                </c:pt>
                <c:pt idx="501">
                  <c:v>45379</c:v>
                </c:pt>
                <c:pt idx="502">
                  <c:v>45380</c:v>
                </c:pt>
                <c:pt idx="503">
                  <c:v>45381</c:v>
                </c:pt>
                <c:pt idx="504">
                  <c:v>45382</c:v>
                </c:pt>
                <c:pt idx="505">
                  <c:v>45383</c:v>
                </c:pt>
                <c:pt idx="506">
                  <c:v>45384</c:v>
                </c:pt>
                <c:pt idx="507">
                  <c:v>45385</c:v>
                </c:pt>
                <c:pt idx="508">
                  <c:v>45386</c:v>
                </c:pt>
                <c:pt idx="509">
                  <c:v>45387</c:v>
                </c:pt>
                <c:pt idx="510">
                  <c:v>45388</c:v>
                </c:pt>
                <c:pt idx="511">
                  <c:v>45389</c:v>
                </c:pt>
                <c:pt idx="512">
                  <c:v>45390</c:v>
                </c:pt>
                <c:pt idx="513">
                  <c:v>45391</c:v>
                </c:pt>
                <c:pt idx="514">
                  <c:v>45392</c:v>
                </c:pt>
                <c:pt idx="515">
                  <c:v>45393</c:v>
                </c:pt>
                <c:pt idx="516">
                  <c:v>45394</c:v>
                </c:pt>
                <c:pt idx="517">
                  <c:v>45395</c:v>
                </c:pt>
                <c:pt idx="518">
                  <c:v>45396</c:v>
                </c:pt>
                <c:pt idx="519">
                  <c:v>45397</c:v>
                </c:pt>
                <c:pt idx="520">
                  <c:v>45398</c:v>
                </c:pt>
                <c:pt idx="521">
                  <c:v>45399</c:v>
                </c:pt>
                <c:pt idx="522">
                  <c:v>45400</c:v>
                </c:pt>
                <c:pt idx="523">
                  <c:v>45401</c:v>
                </c:pt>
                <c:pt idx="524">
                  <c:v>45402</c:v>
                </c:pt>
                <c:pt idx="525">
                  <c:v>45403</c:v>
                </c:pt>
                <c:pt idx="526">
                  <c:v>45404</c:v>
                </c:pt>
                <c:pt idx="527">
                  <c:v>45405</c:v>
                </c:pt>
                <c:pt idx="528">
                  <c:v>45406</c:v>
                </c:pt>
                <c:pt idx="529">
                  <c:v>45407</c:v>
                </c:pt>
                <c:pt idx="530">
                  <c:v>45408</c:v>
                </c:pt>
                <c:pt idx="531">
                  <c:v>45409</c:v>
                </c:pt>
                <c:pt idx="532">
                  <c:v>45410</c:v>
                </c:pt>
                <c:pt idx="533">
                  <c:v>45411</c:v>
                </c:pt>
                <c:pt idx="534">
                  <c:v>45412</c:v>
                </c:pt>
                <c:pt idx="535">
                  <c:v>45413</c:v>
                </c:pt>
                <c:pt idx="536">
                  <c:v>45414</c:v>
                </c:pt>
                <c:pt idx="537">
                  <c:v>45415</c:v>
                </c:pt>
                <c:pt idx="538">
                  <c:v>45416</c:v>
                </c:pt>
                <c:pt idx="539">
                  <c:v>45417</c:v>
                </c:pt>
                <c:pt idx="540">
                  <c:v>45418</c:v>
                </c:pt>
                <c:pt idx="541">
                  <c:v>45419</c:v>
                </c:pt>
                <c:pt idx="542">
                  <c:v>45420</c:v>
                </c:pt>
                <c:pt idx="543">
                  <c:v>45421</c:v>
                </c:pt>
                <c:pt idx="544">
                  <c:v>45422</c:v>
                </c:pt>
                <c:pt idx="545">
                  <c:v>45423</c:v>
                </c:pt>
                <c:pt idx="546">
                  <c:v>45424</c:v>
                </c:pt>
                <c:pt idx="547">
                  <c:v>45425</c:v>
                </c:pt>
                <c:pt idx="548">
                  <c:v>45426</c:v>
                </c:pt>
                <c:pt idx="549">
                  <c:v>45427</c:v>
                </c:pt>
                <c:pt idx="550">
                  <c:v>45428</c:v>
                </c:pt>
                <c:pt idx="551">
                  <c:v>45429</c:v>
                </c:pt>
                <c:pt idx="552">
                  <c:v>45430</c:v>
                </c:pt>
                <c:pt idx="553">
                  <c:v>45431</c:v>
                </c:pt>
                <c:pt idx="554">
                  <c:v>45432</c:v>
                </c:pt>
                <c:pt idx="555">
                  <c:v>45433</c:v>
                </c:pt>
                <c:pt idx="556">
                  <c:v>45434</c:v>
                </c:pt>
                <c:pt idx="557">
                  <c:v>45435</c:v>
                </c:pt>
                <c:pt idx="558">
                  <c:v>45436</c:v>
                </c:pt>
                <c:pt idx="559">
                  <c:v>45437</c:v>
                </c:pt>
                <c:pt idx="560">
                  <c:v>45438</c:v>
                </c:pt>
                <c:pt idx="561">
                  <c:v>45439</c:v>
                </c:pt>
                <c:pt idx="562">
                  <c:v>45440</c:v>
                </c:pt>
                <c:pt idx="563">
                  <c:v>45441</c:v>
                </c:pt>
                <c:pt idx="564">
                  <c:v>45442</c:v>
                </c:pt>
                <c:pt idx="565">
                  <c:v>45443</c:v>
                </c:pt>
                <c:pt idx="566">
                  <c:v>45444</c:v>
                </c:pt>
                <c:pt idx="567">
                  <c:v>45445</c:v>
                </c:pt>
                <c:pt idx="568">
                  <c:v>45446</c:v>
                </c:pt>
                <c:pt idx="569">
                  <c:v>45447</c:v>
                </c:pt>
                <c:pt idx="570">
                  <c:v>45448</c:v>
                </c:pt>
                <c:pt idx="571">
                  <c:v>45449</c:v>
                </c:pt>
                <c:pt idx="572">
                  <c:v>45450</c:v>
                </c:pt>
                <c:pt idx="573">
                  <c:v>45451</c:v>
                </c:pt>
                <c:pt idx="574">
                  <c:v>45452</c:v>
                </c:pt>
                <c:pt idx="575">
                  <c:v>45453</c:v>
                </c:pt>
                <c:pt idx="576">
                  <c:v>45454</c:v>
                </c:pt>
                <c:pt idx="577">
                  <c:v>45455</c:v>
                </c:pt>
                <c:pt idx="578">
                  <c:v>45456</c:v>
                </c:pt>
                <c:pt idx="579">
                  <c:v>45457</c:v>
                </c:pt>
                <c:pt idx="580">
                  <c:v>45458</c:v>
                </c:pt>
                <c:pt idx="581">
                  <c:v>45459</c:v>
                </c:pt>
                <c:pt idx="582">
                  <c:v>45460</c:v>
                </c:pt>
                <c:pt idx="583">
                  <c:v>45461</c:v>
                </c:pt>
                <c:pt idx="584">
                  <c:v>45462</c:v>
                </c:pt>
                <c:pt idx="585">
                  <c:v>45463</c:v>
                </c:pt>
                <c:pt idx="586">
                  <c:v>45464</c:v>
                </c:pt>
                <c:pt idx="587">
                  <c:v>45465</c:v>
                </c:pt>
                <c:pt idx="588">
                  <c:v>45466</c:v>
                </c:pt>
                <c:pt idx="589">
                  <c:v>45467</c:v>
                </c:pt>
                <c:pt idx="590">
                  <c:v>45468</c:v>
                </c:pt>
                <c:pt idx="591">
                  <c:v>45469</c:v>
                </c:pt>
                <c:pt idx="592">
                  <c:v>45470</c:v>
                </c:pt>
                <c:pt idx="593">
                  <c:v>45471</c:v>
                </c:pt>
                <c:pt idx="594">
                  <c:v>45472</c:v>
                </c:pt>
                <c:pt idx="595">
                  <c:v>45473</c:v>
                </c:pt>
                <c:pt idx="596">
                  <c:v>45474</c:v>
                </c:pt>
                <c:pt idx="597">
                  <c:v>45475</c:v>
                </c:pt>
                <c:pt idx="598">
                  <c:v>45476</c:v>
                </c:pt>
                <c:pt idx="599">
                  <c:v>45477</c:v>
                </c:pt>
                <c:pt idx="600">
                  <c:v>45478</c:v>
                </c:pt>
                <c:pt idx="601">
                  <c:v>45479</c:v>
                </c:pt>
                <c:pt idx="602">
                  <c:v>45480</c:v>
                </c:pt>
                <c:pt idx="603">
                  <c:v>45481</c:v>
                </c:pt>
                <c:pt idx="604">
                  <c:v>45482</c:v>
                </c:pt>
                <c:pt idx="605">
                  <c:v>45483</c:v>
                </c:pt>
                <c:pt idx="606">
                  <c:v>45484</c:v>
                </c:pt>
                <c:pt idx="607">
                  <c:v>45485</c:v>
                </c:pt>
                <c:pt idx="608">
                  <c:v>45486</c:v>
                </c:pt>
                <c:pt idx="609">
                  <c:v>45487</c:v>
                </c:pt>
                <c:pt idx="610">
                  <c:v>45488</c:v>
                </c:pt>
                <c:pt idx="611">
                  <c:v>45489</c:v>
                </c:pt>
                <c:pt idx="612">
                  <c:v>45490</c:v>
                </c:pt>
                <c:pt idx="613">
                  <c:v>45491</c:v>
                </c:pt>
                <c:pt idx="614">
                  <c:v>45492</c:v>
                </c:pt>
                <c:pt idx="615">
                  <c:v>45493</c:v>
                </c:pt>
                <c:pt idx="616">
                  <c:v>45494</c:v>
                </c:pt>
                <c:pt idx="617">
                  <c:v>45495</c:v>
                </c:pt>
                <c:pt idx="618">
                  <c:v>45496</c:v>
                </c:pt>
                <c:pt idx="619">
                  <c:v>45497</c:v>
                </c:pt>
                <c:pt idx="620">
                  <c:v>45498</c:v>
                </c:pt>
                <c:pt idx="621">
                  <c:v>45499</c:v>
                </c:pt>
                <c:pt idx="622">
                  <c:v>45500</c:v>
                </c:pt>
                <c:pt idx="623">
                  <c:v>45501</c:v>
                </c:pt>
                <c:pt idx="624">
                  <c:v>45502</c:v>
                </c:pt>
                <c:pt idx="625">
                  <c:v>45503</c:v>
                </c:pt>
                <c:pt idx="626">
                  <c:v>45504</c:v>
                </c:pt>
                <c:pt idx="627">
                  <c:v>45505</c:v>
                </c:pt>
                <c:pt idx="628">
                  <c:v>45506</c:v>
                </c:pt>
                <c:pt idx="629">
                  <c:v>45507</c:v>
                </c:pt>
                <c:pt idx="630">
                  <c:v>45508</c:v>
                </c:pt>
                <c:pt idx="631">
                  <c:v>45509</c:v>
                </c:pt>
                <c:pt idx="632">
                  <c:v>45510</c:v>
                </c:pt>
                <c:pt idx="633">
                  <c:v>45511</c:v>
                </c:pt>
                <c:pt idx="634">
                  <c:v>45512</c:v>
                </c:pt>
                <c:pt idx="635">
                  <c:v>45513</c:v>
                </c:pt>
                <c:pt idx="636">
                  <c:v>45514</c:v>
                </c:pt>
                <c:pt idx="637">
                  <c:v>45515</c:v>
                </c:pt>
                <c:pt idx="638">
                  <c:v>45516</c:v>
                </c:pt>
                <c:pt idx="639">
                  <c:v>45517</c:v>
                </c:pt>
                <c:pt idx="640">
                  <c:v>45518</c:v>
                </c:pt>
                <c:pt idx="641">
                  <c:v>45519</c:v>
                </c:pt>
                <c:pt idx="642">
                  <c:v>45520</c:v>
                </c:pt>
                <c:pt idx="643">
                  <c:v>45521</c:v>
                </c:pt>
                <c:pt idx="644">
                  <c:v>45522</c:v>
                </c:pt>
                <c:pt idx="645">
                  <c:v>45523</c:v>
                </c:pt>
                <c:pt idx="646">
                  <c:v>45524</c:v>
                </c:pt>
                <c:pt idx="647">
                  <c:v>45525</c:v>
                </c:pt>
                <c:pt idx="648">
                  <c:v>45526</c:v>
                </c:pt>
                <c:pt idx="649">
                  <c:v>45527</c:v>
                </c:pt>
                <c:pt idx="650">
                  <c:v>45528</c:v>
                </c:pt>
                <c:pt idx="651">
                  <c:v>45529</c:v>
                </c:pt>
                <c:pt idx="652">
                  <c:v>45530</c:v>
                </c:pt>
                <c:pt idx="653">
                  <c:v>45531</c:v>
                </c:pt>
                <c:pt idx="654">
                  <c:v>45532</c:v>
                </c:pt>
                <c:pt idx="655">
                  <c:v>45533</c:v>
                </c:pt>
                <c:pt idx="656">
                  <c:v>45534</c:v>
                </c:pt>
                <c:pt idx="657">
                  <c:v>45535</c:v>
                </c:pt>
                <c:pt idx="658">
                  <c:v>45536</c:v>
                </c:pt>
                <c:pt idx="659">
                  <c:v>45537</c:v>
                </c:pt>
                <c:pt idx="660">
                  <c:v>45538</c:v>
                </c:pt>
                <c:pt idx="661">
                  <c:v>45539</c:v>
                </c:pt>
                <c:pt idx="662">
                  <c:v>45540</c:v>
                </c:pt>
                <c:pt idx="663">
                  <c:v>45541</c:v>
                </c:pt>
                <c:pt idx="664">
                  <c:v>45542</c:v>
                </c:pt>
                <c:pt idx="665">
                  <c:v>45543</c:v>
                </c:pt>
                <c:pt idx="666">
                  <c:v>45544</c:v>
                </c:pt>
                <c:pt idx="667">
                  <c:v>45545</c:v>
                </c:pt>
                <c:pt idx="668">
                  <c:v>45546</c:v>
                </c:pt>
                <c:pt idx="669">
                  <c:v>45547</c:v>
                </c:pt>
                <c:pt idx="670">
                  <c:v>45548</c:v>
                </c:pt>
                <c:pt idx="671">
                  <c:v>45549</c:v>
                </c:pt>
                <c:pt idx="672">
                  <c:v>45550</c:v>
                </c:pt>
                <c:pt idx="673">
                  <c:v>45551</c:v>
                </c:pt>
                <c:pt idx="674">
                  <c:v>45552</c:v>
                </c:pt>
                <c:pt idx="675">
                  <c:v>45553</c:v>
                </c:pt>
                <c:pt idx="676">
                  <c:v>45554</c:v>
                </c:pt>
                <c:pt idx="677">
                  <c:v>45555</c:v>
                </c:pt>
                <c:pt idx="678">
                  <c:v>45556</c:v>
                </c:pt>
                <c:pt idx="679">
                  <c:v>45557</c:v>
                </c:pt>
                <c:pt idx="680">
                  <c:v>45558</c:v>
                </c:pt>
                <c:pt idx="681">
                  <c:v>45559</c:v>
                </c:pt>
                <c:pt idx="682">
                  <c:v>45560</c:v>
                </c:pt>
                <c:pt idx="683">
                  <c:v>45561</c:v>
                </c:pt>
                <c:pt idx="684">
                  <c:v>45562</c:v>
                </c:pt>
                <c:pt idx="685">
                  <c:v>45563</c:v>
                </c:pt>
                <c:pt idx="686">
                  <c:v>45564</c:v>
                </c:pt>
                <c:pt idx="687">
                  <c:v>45565</c:v>
                </c:pt>
                <c:pt idx="688">
                  <c:v>45566</c:v>
                </c:pt>
                <c:pt idx="689">
                  <c:v>45567</c:v>
                </c:pt>
                <c:pt idx="690">
                  <c:v>45568</c:v>
                </c:pt>
                <c:pt idx="691">
                  <c:v>45569</c:v>
                </c:pt>
                <c:pt idx="692">
                  <c:v>45570</c:v>
                </c:pt>
                <c:pt idx="693">
                  <c:v>45571</c:v>
                </c:pt>
                <c:pt idx="694">
                  <c:v>45572</c:v>
                </c:pt>
                <c:pt idx="695">
                  <c:v>45573</c:v>
                </c:pt>
                <c:pt idx="696">
                  <c:v>45574</c:v>
                </c:pt>
                <c:pt idx="697">
                  <c:v>45575</c:v>
                </c:pt>
                <c:pt idx="698">
                  <c:v>45576</c:v>
                </c:pt>
                <c:pt idx="699">
                  <c:v>45577</c:v>
                </c:pt>
                <c:pt idx="700">
                  <c:v>45578</c:v>
                </c:pt>
                <c:pt idx="701">
                  <c:v>45579</c:v>
                </c:pt>
                <c:pt idx="702">
                  <c:v>45580</c:v>
                </c:pt>
                <c:pt idx="703">
                  <c:v>45581</c:v>
                </c:pt>
                <c:pt idx="704">
                  <c:v>45582</c:v>
                </c:pt>
                <c:pt idx="705">
                  <c:v>45583</c:v>
                </c:pt>
                <c:pt idx="706">
                  <c:v>45584</c:v>
                </c:pt>
                <c:pt idx="707">
                  <c:v>45585</c:v>
                </c:pt>
                <c:pt idx="708">
                  <c:v>45586</c:v>
                </c:pt>
                <c:pt idx="709">
                  <c:v>45587</c:v>
                </c:pt>
                <c:pt idx="710">
                  <c:v>45588</c:v>
                </c:pt>
                <c:pt idx="711">
                  <c:v>45589</c:v>
                </c:pt>
                <c:pt idx="712">
                  <c:v>45590</c:v>
                </c:pt>
                <c:pt idx="713">
                  <c:v>45591</c:v>
                </c:pt>
                <c:pt idx="714">
                  <c:v>45592</c:v>
                </c:pt>
                <c:pt idx="715">
                  <c:v>45593</c:v>
                </c:pt>
                <c:pt idx="716">
                  <c:v>45594</c:v>
                </c:pt>
                <c:pt idx="717">
                  <c:v>45595</c:v>
                </c:pt>
                <c:pt idx="718">
                  <c:v>45596</c:v>
                </c:pt>
                <c:pt idx="719">
                  <c:v>45597</c:v>
                </c:pt>
                <c:pt idx="720">
                  <c:v>45598</c:v>
                </c:pt>
                <c:pt idx="721">
                  <c:v>45599</c:v>
                </c:pt>
                <c:pt idx="722">
                  <c:v>45600</c:v>
                </c:pt>
                <c:pt idx="723">
                  <c:v>45601</c:v>
                </c:pt>
                <c:pt idx="724">
                  <c:v>45602</c:v>
                </c:pt>
                <c:pt idx="725">
                  <c:v>45603</c:v>
                </c:pt>
                <c:pt idx="726">
                  <c:v>45604</c:v>
                </c:pt>
                <c:pt idx="727">
                  <c:v>45605</c:v>
                </c:pt>
                <c:pt idx="728">
                  <c:v>45606</c:v>
                </c:pt>
                <c:pt idx="729">
                  <c:v>45607</c:v>
                </c:pt>
                <c:pt idx="730">
                  <c:v>45608</c:v>
                </c:pt>
                <c:pt idx="731">
                  <c:v>45609</c:v>
                </c:pt>
                <c:pt idx="732">
                  <c:v>45610</c:v>
                </c:pt>
                <c:pt idx="733">
                  <c:v>45611</c:v>
                </c:pt>
                <c:pt idx="734">
                  <c:v>45612</c:v>
                </c:pt>
                <c:pt idx="735">
                  <c:v>45613</c:v>
                </c:pt>
                <c:pt idx="736">
                  <c:v>45614</c:v>
                </c:pt>
                <c:pt idx="737">
                  <c:v>45615</c:v>
                </c:pt>
                <c:pt idx="738">
                  <c:v>45616</c:v>
                </c:pt>
                <c:pt idx="739">
                  <c:v>45617</c:v>
                </c:pt>
                <c:pt idx="740">
                  <c:v>45618</c:v>
                </c:pt>
                <c:pt idx="741">
                  <c:v>45619</c:v>
                </c:pt>
                <c:pt idx="742">
                  <c:v>45620</c:v>
                </c:pt>
                <c:pt idx="743">
                  <c:v>45621</c:v>
                </c:pt>
                <c:pt idx="744">
                  <c:v>45622</c:v>
                </c:pt>
                <c:pt idx="745">
                  <c:v>45623</c:v>
                </c:pt>
                <c:pt idx="746">
                  <c:v>45624</c:v>
                </c:pt>
                <c:pt idx="747">
                  <c:v>45625</c:v>
                </c:pt>
                <c:pt idx="748">
                  <c:v>45626</c:v>
                </c:pt>
                <c:pt idx="749">
                  <c:v>45627</c:v>
                </c:pt>
                <c:pt idx="750">
                  <c:v>45628</c:v>
                </c:pt>
                <c:pt idx="751">
                  <c:v>45629</c:v>
                </c:pt>
                <c:pt idx="752">
                  <c:v>45630</c:v>
                </c:pt>
                <c:pt idx="753">
                  <c:v>45631</c:v>
                </c:pt>
                <c:pt idx="754">
                  <c:v>45632</c:v>
                </c:pt>
                <c:pt idx="755">
                  <c:v>45633</c:v>
                </c:pt>
                <c:pt idx="756">
                  <c:v>45634</c:v>
                </c:pt>
                <c:pt idx="757">
                  <c:v>45635</c:v>
                </c:pt>
                <c:pt idx="758">
                  <c:v>45636</c:v>
                </c:pt>
                <c:pt idx="759">
                  <c:v>45637</c:v>
                </c:pt>
                <c:pt idx="760">
                  <c:v>45638</c:v>
                </c:pt>
                <c:pt idx="761">
                  <c:v>45639</c:v>
                </c:pt>
                <c:pt idx="762">
                  <c:v>45640</c:v>
                </c:pt>
                <c:pt idx="763">
                  <c:v>45641</c:v>
                </c:pt>
                <c:pt idx="764">
                  <c:v>45642</c:v>
                </c:pt>
                <c:pt idx="765">
                  <c:v>45643</c:v>
                </c:pt>
                <c:pt idx="766">
                  <c:v>45644</c:v>
                </c:pt>
                <c:pt idx="767">
                  <c:v>45645</c:v>
                </c:pt>
                <c:pt idx="768">
                  <c:v>45646</c:v>
                </c:pt>
                <c:pt idx="769">
                  <c:v>45647</c:v>
                </c:pt>
                <c:pt idx="770">
                  <c:v>45648</c:v>
                </c:pt>
                <c:pt idx="771">
                  <c:v>45649</c:v>
                </c:pt>
                <c:pt idx="772">
                  <c:v>45650</c:v>
                </c:pt>
                <c:pt idx="773">
                  <c:v>45651</c:v>
                </c:pt>
                <c:pt idx="774">
                  <c:v>45652</c:v>
                </c:pt>
                <c:pt idx="775">
                  <c:v>45653</c:v>
                </c:pt>
                <c:pt idx="776">
                  <c:v>45654</c:v>
                </c:pt>
                <c:pt idx="777">
                  <c:v>45655</c:v>
                </c:pt>
                <c:pt idx="778">
                  <c:v>45656</c:v>
                </c:pt>
                <c:pt idx="779">
                  <c:v>45657</c:v>
                </c:pt>
                <c:pt idx="780">
                  <c:v>45658</c:v>
                </c:pt>
                <c:pt idx="781">
                  <c:v>45659</c:v>
                </c:pt>
                <c:pt idx="782">
                  <c:v>45660</c:v>
                </c:pt>
                <c:pt idx="783">
                  <c:v>45661</c:v>
                </c:pt>
                <c:pt idx="784">
                  <c:v>45662</c:v>
                </c:pt>
                <c:pt idx="785">
                  <c:v>45663</c:v>
                </c:pt>
                <c:pt idx="786">
                  <c:v>45664</c:v>
                </c:pt>
                <c:pt idx="787">
                  <c:v>45665</c:v>
                </c:pt>
                <c:pt idx="788">
                  <c:v>45666</c:v>
                </c:pt>
                <c:pt idx="789">
                  <c:v>45667</c:v>
                </c:pt>
                <c:pt idx="790">
                  <c:v>45668</c:v>
                </c:pt>
                <c:pt idx="791">
                  <c:v>45669</c:v>
                </c:pt>
                <c:pt idx="792">
                  <c:v>45670</c:v>
                </c:pt>
                <c:pt idx="793">
                  <c:v>45671</c:v>
                </c:pt>
                <c:pt idx="794">
                  <c:v>45672</c:v>
                </c:pt>
                <c:pt idx="795">
                  <c:v>45673</c:v>
                </c:pt>
                <c:pt idx="796">
                  <c:v>45674</c:v>
                </c:pt>
                <c:pt idx="797">
                  <c:v>45675</c:v>
                </c:pt>
                <c:pt idx="798">
                  <c:v>45676</c:v>
                </c:pt>
                <c:pt idx="799">
                  <c:v>45677</c:v>
                </c:pt>
                <c:pt idx="800">
                  <c:v>45678</c:v>
                </c:pt>
                <c:pt idx="801">
                  <c:v>45679</c:v>
                </c:pt>
                <c:pt idx="802">
                  <c:v>45680</c:v>
                </c:pt>
                <c:pt idx="803">
                  <c:v>45681</c:v>
                </c:pt>
                <c:pt idx="804">
                  <c:v>45682</c:v>
                </c:pt>
                <c:pt idx="805">
                  <c:v>45683</c:v>
                </c:pt>
                <c:pt idx="806">
                  <c:v>45684</c:v>
                </c:pt>
                <c:pt idx="807">
                  <c:v>45685</c:v>
                </c:pt>
                <c:pt idx="808">
                  <c:v>45686</c:v>
                </c:pt>
                <c:pt idx="809">
                  <c:v>45687</c:v>
                </c:pt>
                <c:pt idx="810">
                  <c:v>45688</c:v>
                </c:pt>
                <c:pt idx="811">
                  <c:v>45689</c:v>
                </c:pt>
                <c:pt idx="812">
                  <c:v>45690</c:v>
                </c:pt>
                <c:pt idx="813">
                  <c:v>45691</c:v>
                </c:pt>
                <c:pt idx="814">
                  <c:v>45692</c:v>
                </c:pt>
                <c:pt idx="815">
                  <c:v>45693</c:v>
                </c:pt>
                <c:pt idx="816">
                  <c:v>45694</c:v>
                </c:pt>
                <c:pt idx="817">
                  <c:v>45695</c:v>
                </c:pt>
                <c:pt idx="818">
                  <c:v>45696</c:v>
                </c:pt>
                <c:pt idx="819">
                  <c:v>45697</c:v>
                </c:pt>
                <c:pt idx="820">
                  <c:v>45698</c:v>
                </c:pt>
                <c:pt idx="821">
                  <c:v>45699</c:v>
                </c:pt>
                <c:pt idx="822">
                  <c:v>45700</c:v>
                </c:pt>
                <c:pt idx="823">
                  <c:v>45701</c:v>
                </c:pt>
                <c:pt idx="824">
                  <c:v>45702</c:v>
                </c:pt>
                <c:pt idx="825">
                  <c:v>45703</c:v>
                </c:pt>
                <c:pt idx="826">
                  <c:v>45704</c:v>
                </c:pt>
                <c:pt idx="827">
                  <c:v>45705</c:v>
                </c:pt>
                <c:pt idx="828">
                  <c:v>45706</c:v>
                </c:pt>
                <c:pt idx="829">
                  <c:v>45707</c:v>
                </c:pt>
                <c:pt idx="830">
                  <c:v>45708</c:v>
                </c:pt>
                <c:pt idx="831">
                  <c:v>45709</c:v>
                </c:pt>
                <c:pt idx="832">
                  <c:v>45710</c:v>
                </c:pt>
                <c:pt idx="833">
                  <c:v>45711</c:v>
                </c:pt>
                <c:pt idx="834">
                  <c:v>45712</c:v>
                </c:pt>
                <c:pt idx="835">
                  <c:v>45713</c:v>
                </c:pt>
                <c:pt idx="836">
                  <c:v>45714</c:v>
                </c:pt>
                <c:pt idx="837">
                  <c:v>45715</c:v>
                </c:pt>
                <c:pt idx="838">
                  <c:v>45716</c:v>
                </c:pt>
                <c:pt idx="839">
                  <c:v>45717</c:v>
                </c:pt>
                <c:pt idx="840">
                  <c:v>45718</c:v>
                </c:pt>
                <c:pt idx="841">
                  <c:v>45719</c:v>
                </c:pt>
                <c:pt idx="842">
                  <c:v>45720</c:v>
                </c:pt>
                <c:pt idx="843">
                  <c:v>45721</c:v>
                </c:pt>
                <c:pt idx="844">
                  <c:v>45722</c:v>
                </c:pt>
                <c:pt idx="845">
                  <c:v>45723</c:v>
                </c:pt>
                <c:pt idx="846">
                  <c:v>45724</c:v>
                </c:pt>
                <c:pt idx="847">
                  <c:v>45725</c:v>
                </c:pt>
                <c:pt idx="848">
                  <c:v>45726</c:v>
                </c:pt>
                <c:pt idx="849">
                  <c:v>45727</c:v>
                </c:pt>
                <c:pt idx="850">
                  <c:v>45728</c:v>
                </c:pt>
                <c:pt idx="851">
                  <c:v>45729</c:v>
                </c:pt>
                <c:pt idx="852">
                  <c:v>45730</c:v>
                </c:pt>
                <c:pt idx="853">
                  <c:v>45731</c:v>
                </c:pt>
                <c:pt idx="854">
                  <c:v>45732</c:v>
                </c:pt>
                <c:pt idx="855">
                  <c:v>45733</c:v>
                </c:pt>
                <c:pt idx="856">
                  <c:v>45734</c:v>
                </c:pt>
                <c:pt idx="857">
                  <c:v>45735</c:v>
                </c:pt>
                <c:pt idx="858">
                  <c:v>45736</c:v>
                </c:pt>
                <c:pt idx="859">
                  <c:v>45737</c:v>
                </c:pt>
                <c:pt idx="860">
                  <c:v>45738</c:v>
                </c:pt>
                <c:pt idx="861">
                  <c:v>45739</c:v>
                </c:pt>
                <c:pt idx="862">
                  <c:v>45740</c:v>
                </c:pt>
                <c:pt idx="863">
                  <c:v>45741</c:v>
                </c:pt>
                <c:pt idx="864">
                  <c:v>45742</c:v>
                </c:pt>
                <c:pt idx="865">
                  <c:v>45743</c:v>
                </c:pt>
                <c:pt idx="866">
                  <c:v>45744</c:v>
                </c:pt>
                <c:pt idx="867">
                  <c:v>45745</c:v>
                </c:pt>
                <c:pt idx="868">
                  <c:v>45746</c:v>
                </c:pt>
                <c:pt idx="869">
                  <c:v>45747</c:v>
                </c:pt>
                <c:pt idx="870">
                  <c:v>45748</c:v>
                </c:pt>
                <c:pt idx="871">
                  <c:v>45749</c:v>
                </c:pt>
                <c:pt idx="872">
                  <c:v>45750</c:v>
                </c:pt>
                <c:pt idx="873">
                  <c:v>45751</c:v>
                </c:pt>
                <c:pt idx="874">
                  <c:v>45752</c:v>
                </c:pt>
                <c:pt idx="875">
                  <c:v>45753</c:v>
                </c:pt>
                <c:pt idx="876">
                  <c:v>45754</c:v>
                </c:pt>
                <c:pt idx="877">
                  <c:v>45755</c:v>
                </c:pt>
                <c:pt idx="878">
                  <c:v>45756</c:v>
                </c:pt>
                <c:pt idx="879">
                  <c:v>45757</c:v>
                </c:pt>
                <c:pt idx="880">
                  <c:v>45758</c:v>
                </c:pt>
                <c:pt idx="881">
                  <c:v>45759</c:v>
                </c:pt>
                <c:pt idx="882">
                  <c:v>45760</c:v>
                </c:pt>
                <c:pt idx="883">
                  <c:v>45761</c:v>
                </c:pt>
                <c:pt idx="884">
                  <c:v>45762</c:v>
                </c:pt>
                <c:pt idx="885">
                  <c:v>45763</c:v>
                </c:pt>
                <c:pt idx="886">
                  <c:v>45764</c:v>
                </c:pt>
                <c:pt idx="887">
                  <c:v>45765</c:v>
                </c:pt>
                <c:pt idx="888">
                  <c:v>45766</c:v>
                </c:pt>
                <c:pt idx="889">
                  <c:v>45767</c:v>
                </c:pt>
                <c:pt idx="890">
                  <c:v>45768</c:v>
                </c:pt>
                <c:pt idx="891">
                  <c:v>45769</c:v>
                </c:pt>
                <c:pt idx="892">
                  <c:v>45770</c:v>
                </c:pt>
                <c:pt idx="893">
                  <c:v>45771</c:v>
                </c:pt>
                <c:pt idx="894">
                  <c:v>45772</c:v>
                </c:pt>
                <c:pt idx="895">
                  <c:v>45773</c:v>
                </c:pt>
                <c:pt idx="896">
                  <c:v>45774</c:v>
                </c:pt>
                <c:pt idx="897">
                  <c:v>45775</c:v>
                </c:pt>
                <c:pt idx="898">
                  <c:v>45776</c:v>
                </c:pt>
                <c:pt idx="899">
                  <c:v>45777</c:v>
                </c:pt>
                <c:pt idx="900">
                  <c:v>45778</c:v>
                </c:pt>
                <c:pt idx="901">
                  <c:v>45779</c:v>
                </c:pt>
              </c:numCache>
            </c:numRef>
          </c:cat>
          <c:val>
            <c:numRef>
              <c:f>'Updated Projections'!$J$2:$J$903</c:f>
              <c:numCache>
                <c:formatCode>0.00</c:formatCode>
                <c:ptCount val="902"/>
                <c:pt idx="720">
                  <c:v>700</c:v>
                </c:pt>
                <c:pt idx="721">
                  <c:v>1086.602926935735</c:v>
                </c:pt>
                <c:pt idx="722">
                  <c:v>1089.7459421543242</c:v>
                </c:pt>
                <c:pt idx="723">
                  <c:v>1092.9129187567789</c:v>
                </c:pt>
                <c:pt idx="724">
                  <c:v>1096.1036660908567</c:v>
                </c:pt>
                <c:pt idx="725">
                  <c:v>1099.3179952582516</c:v>
                </c:pt>
                <c:pt idx="726">
                  <c:v>1102.5557191570426</c:v>
                </c:pt>
                <c:pt idx="727">
                  <c:v>1105.816652519713</c:v>
                </c:pt>
                <c:pt idx="728">
                  <c:v>1109.1006119469719</c:v>
                </c:pt>
                <c:pt idx="729">
                  <c:v>1112.4074159375859</c:v>
                </c:pt>
                <c:pt idx="730">
                  <c:v>1115.7368849144459</c:v>
                </c:pt>
                <c:pt idx="731">
                  <c:v>1119.0888412470517</c:v>
                </c:pt>
                <c:pt idx="732">
                  <c:v>1122.4631092706381</c:v>
                </c:pt>
                <c:pt idx="733">
                  <c:v>1125.8595153021029</c:v>
                </c:pt>
                <c:pt idx="734">
                  <c:v>1129.2778876529489</c:v>
                </c:pt>
                <c:pt idx="735">
                  <c:v>1132.7180566393899</c:v>
                </c:pt>
                <c:pt idx="736">
                  <c:v>1136.1798545898123</c:v>
                </c:pt>
                <c:pt idx="737">
                  <c:v>1139.663115849735</c:v>
                </c:pt>
                <c:pt idx="738">
                  <c:v>1143.1676767844415</c:v>
                </c:pt>
                <c:pt idx="739">
                  <c:v>1146.6933757794172</c:v>
                </c:pt>
                <c:pt idx="740">
                  <c:v>1150.2400532387474</c:v>
                </c:pt>
                <c:pt idx="741">
                  <c:v>1153.8075515816033</c:v>
                </c:pt>
                <c:pt idx="742">
                  <c:v>1157.3957152369524</c:v>
                </c:pt>
                <c:pt idx="743">
                  <c:v>1161.0043906366109</c:v>
                </c:pt>
                <c:pt idx="744">
                  <c:v>1164.6334262067655</c:v>
                </c:pt>
                <c:pt idx="745">
                  <c:v>1168.2826723580661</c:v>
                </c:pt>
                <c:pt idx="746">
                  <c:v>1171.951981474406</c:v>
                </c:pt>
                <c:pt idx="747">
                  <c:v>1175.641207900484</c:v>
                </c:pt>
                <c:pt idx="748">
                  <c:v>1179.3502079282525</c:v>
                </c:pt>
                <c:pt idx="749">
                  <c:v>1183.0788397823321</c:v>
                </c:pt>
                <c:pt idx="750">
                  <c:v>1186.8269636044929</c:v>
                </c:pt>
                <c:pt idx="751">
                  <c:v>1190.5944414372711</c:v>
                </c:pt>
                <c:pt idx="752">
                  <c:v>1194.3811372068103</c:v>
                </c:pt>
                <c:pt idx="753">
                  <c:v>1198.1869167049902</c:v>
                </c:pt>
                <c:pt idx="754">
                  <c:v>1202.0116475709222</c:v>
                </c:pt>
                <c:pt idx="755">
                  <c:v>1205.8551992718658</c:v>
                </c:pt>
                <c:pt idx="756">
                  <c:v>1209.7174430836405</c:v>
                </c:pt>
                <c:pt idx="757">
                  <c:v>1213.5982520705766</c:v>
                </c:pt>
                <c:pt idx="758">
                  <c:v>1217.4975010650724</c:v>
                </c:pt>
                <c:pt idx="759">
                  <c:v>1221.4150666467995</c:v>
                </c:pt>
                <c:pt idx="760">
                  <c:v>1225.3508271216112</c:v>
                </c:pt>
                <c:pt idx="761">
                  <c:v>1229.3046625001909</c:v>
                </c:pt>
                <c:pt idx="762">
                  <c:v>1233.2764544764941</c:v>
                </c:pt>
                <c:pt idx="763">
                  <c:v>1237.2660864060099</c:v>
                </c:pt>
                <c:pt idx="764">
                  <c:v>1241.2734432838911</c:v>
                </c:pt>
                <c:pt idx="765">
                  <c:v>1245.2984117229785</c:v>
                </c:pt>
                <c:pt idx="766">
                  <c:v>1249.3408799317594</c:v>
                </c:pt>
                <c:pt idx="767">
                  <c:v>1253.4007376922802</c:v>
                </c:pt>
                <c:pt idx="768">
                  <c:v>1257.4778763380518</c:v>
                </c:pt>
                <c:pt idx="769">
                  <c:v>1261.5721887319646</c:v>
                </c:pt>
                <c:pt idx="770">
                  <c:v>1265.6835692442446</c:v>
                </c:pt>
                <c:pt idx="771">
                  <c:v>1269.8119137304657</c:v>
                </c:pt>
                <c:pt idx="772">
                  <c:v>1273.9571195096464</c:v>
                </c:pt>
                <c:pt idx="773">
                  <c:v>1278.1190853424391</c:v>
                </c:pt>
                <c:pt idx="774">
                  <c:v>1282.2977114094444</c:v>
                </c:pt>
                <c:pt idx="775">
                  <c:v>1286.4928992896507</c:v>
                </c:pt>
                <c:pt idx="776">
                  <c:v>1290.704551939026</c:v>
                </c:pt>
                <c:pt idx="777">
                  <c:v>1294.9325736692672</c:v>
                </c:pt>
                <c:pt idx="778">
                  <c:v>1299.1768701267263</c:v>
                </c:pt>
                <c:pt idx="779">
                  <c:v>1303.4373482715155</c:v>
                </c:pt>
                <c:pt idx="780">
                  <c:v>1307.7139163568136</c:v>
                </c:pt>
                <c:pt idx="781">
                  <c:v>1312.0064839083684</c:v>
                </c:pt>
                <c:pt idx="782">
                  <c:v>1316.3149617042181</c:v>
                </c:pt>
                <c:pt idx="783">
                  <c:v>1320.6392617546253</c:v>
                </c:pt>
                <c:pt idx="784">
                  <c:v>1324.9792972822434</c:v>
                </c:pt>
                <c:pt idx="785">
                  <c:v>1329.3349827025063</c:v>
                </c:pt>
                <c:pt idx="786">
                  <c:v>1333.7062336042645</c:v>
                </c:pt>
                <c:pt idx="787">
                  <c:v>1338.0929667306518</c:v>
                </c:pt>
                <c:pt idx="788">
                  <c:v>1342.4950999602056</c:v>
                </c:pt>
                <c:pt idx="789">
                  <c:v>1346.9125522882291</c:v>
                </c:pt>
                <c:pt idx="790">
                  <c:v>1351.3452438084082</c:v>
                </c:pt>
                <c:pt idx="791">
                  <c:v>1355.7930956946766</c:v>
                </c:pt>
                <c:pt idx="792">
                  <c:v>1360.2560301833428</c:v>
                </c:pt>
                <c:pt idx="793">
                  <c:v>1364.7339705554627</c:v>
                </c:pt>
                <c:pt idx="794">
                  <c:v>1369.2268411194796</c:v>
                </c:pt>
                <c:pt idx="795">
                  <c:v>1373.7345671941121</c:v>
                </c:pt>
                <c:pt idx="796">
                  <c:v>1378.2570750915056</c:v>
                </c:pt>
                <c:pt idx="797">
                  <c:v>1382.794292100637</c:v>
                </c:pt>
                <c:pt idx="798">
                  <c:v>1387.3461464709787</c:v>
                </c:pt>
                <c:pt idx="799">
                  <c:v>1391.9125673964149</c:v>
                </c:pt>
                <c:pt idx="800">
                  <c:v>1396.4934849994179</c:v>
                </c:pt>
                <c:pt idx="801">
                  <c:v>1401.0888303154707</c:v>
                </c:pt>
                <c:pt idx="802">
                  <c:v>1405.6985352777494</c:v>
                </c:pt>
                <c:pt idx="803">
                  <c:v>1410.32253270205</c:v>
                </c:pt>
                <c:pt idx="804">
                  <c:v>1414.9607562719671</c:v>
                </c:pt>
                <c:pt idx="805">
                  <c:v>1419.6131405243163</c:v>
                </c:pt>
                <c:pt idx="806">
                  <c:v>1424.2796208348061</c:v>
                </c:pt>
                <c:pt idx="807">
                  <c:v>1428.960133403943</c:v>
                </c:pt>
                <c:pt idx="808">
                  <c:v>1433.6546152431879</c:v>
                </c:pt>
                <c:pt idx="809">
                  <c:v>1438.3630041613378</c:v>
                </c:pt>
                <c:pt idx="810">
                  <c:v>1443.0852387511522</c:v>
                </c:pt>
                <c:pt idx="811">
                  <c:v>1447.8212583762033</c:v>
                </c:pt>
                <c:pt idx="812">
                  <c:v>1452.5710031579629</c:v>
                </c:pt>
                <c:pt idx="813">
                  <c:v>1457.334413963106</c:v>
                </c:pt>
                <c:pt idx="814">
                  <c:v>1462.111432391049</c:v>
                </c:pt>
                <c:pt idx="815">
                  <c:v>1466.9020007616975</c:v>
                </c:pt>
                <c:pt idx="816">
                  <c:v>1471.7060621034211</c:v>
                </c:pt>
                <c:pt idx="817">
                  <c:v>1476.5235601412337</c:v>
                </c:pt>
                <c:pt idx="818">
                  <c:v>1481.3544392851936</c:v>
                </c:pt>
                <c:pt idx="819">
                  <c:v>1486.1986446190031</c:v>
                </c:pt>
                <c:pt idx="820">
                  <c:v>1491.056121888822</c:v>
                </c:pt>
                <c:pt idx="821">
                  <c:v>1495.9268174922759</c:v>
                </c:pt>
                <c:pt idx="822">
                  <c:v>1500.8106784676693</c:v>
                </c:pt>
                <c:pt idx="823">
                  <c:v>1505.7076524833885</c:v>
                </c:pt>
                <c:pt idx="824">
                  <c:v>1510.6176878275032</c:v>
                </c:pt>
                <c:pt idx="825">
                  <c:v>1515.5407333975529</c:v>
                </c:pt>
                <c:pt idx="826">
                  <c:v>1520.4767386905237</c:v>
                </c:pt>
                <c:pt idx="827">
                  <c:v>1525.4256537930037</c:v>
                </c:pt>
                <c:pt idx="828">
                  <c:v>1530.3874293715253</c:v>
                </c:pt>
                <c:pt idx="829">
                  <c:v>1535.3620166630783</c:v>
                </c:pt>
                <c:pt idx="830">
                  <c:v>1540.3493674658021</c:v>
                </c:pt>
                <c:pt idx="831">
                  <c:v>1545.3494341298438</c:v>
                </c:pt>
                <c:pt idx="832">
                  <c:v>1550.362169548393</c:v>
                </c:pt>
                <c:pt idx="833">
                  <c:v>1555.3875271488723</c:v>
                </c:pt>
                <c:pt idx="834">
                  <c:v>1560.4254608842971</c:v>
                </c:pt>
                <c:pt idx="835">
                  <c:v>1565.4759252247909</c:v>
                </c:pt>
                <c:pt idx="836">
                  <c:v>1570.5388751492615</c:v>
                </c:pt>
                <c:pt idx="837">
                  <c:v>1575.6142661372237</c:v>
                </c:pt>
                <c:pt idx="838">
                  <c:v>1580.7020541607835</c:v>
                </c:pt>
                <c:pt idx="839">
                  <c:v>1585.8021956767582</c:v>
                </c:pt>
                <c:pt idx="840">
                  <c:v>1590.9146476189544</c:v>
                </c:pt>
                <c:pt idx="841">
                  <c:v>1596.0393673905774</c:v>
                </c:pt>
                <c:pt idx="842">
                  <c:v>1601.17631285679</c:v>
                </c:pt>
                <c:pt idx="843">
                  <c:v>1606.325442337403</c:v>
                </c:pt>
                <c:pt idx="844">
                  <c:v>1611.4867145997034</c:v>
                </c:pt>
                <c:pt idx="845">
                  <c:v>1616.6600888514131</c:v>
                </c:pt>
                <c:pt idx="846">
                  <c:v>1621.8455247337795</c:v>
                </c:pt>
                <c:pt idx="847">
                  <c:v>1627.0429823147915</c:v>
                </c:pt>
                <c:pt idx="848">
                  <c:v>1632.2524220825239</c:v>
                </c:pt>
                <c:pt idx="849">
                  <c:v>1637.4738049385978</c:v>
                </c:pt>
                <c:pt idx="850">
                  <c:v>1642.7070921917702</c:v>
                </c:pt>
                <c:pt idx="851">
                  <c:v>1647.9522455516326</c:v>
                </c:pt>
                <c:pt idx="852">
                  <c:v>1653.2092271224335</c:v>
                </c:pt>
                <c:pt idx="853">
                  <c:v>1658.4779993970064</c:v>
                </c:pt>
                <c:pt idx="854">
                  <c:v>1663.7585252508168</c:v>
                </c:pt>
                <c:pt idx="855">
                  <c:v>1669.0507679361099</c:v>
                </c:pt>
                <c:pt idx="856">
                  <c:v>1674.3546910761747</c:v>
                </c:pt>
                <c:pt idx="857">
                  <c:v>1679.6702586597041</c:v>
                </c:pt>
                <c:pt idx="858">
                  <c:v>1684.9974350352645</c:v>
                </c:pt>
                <c:pt idx="859">
                  <c:v>1690.336184905861</c:v>
                </c:pt>
                <c:pt idx="860">
                  <c:v>1695.6864733236071</c:v>
                </c:pt>
                <c:pt idx="861">
                  <c:v>1701.0482656844847</c:v>
                </c:pt>
                <c:pt idx="862">
                  <c:v>1706.4215277232056</c:v>
                </c:pt>
                <c:pt idx="863">
                  <c:v>1711.8062255081609</c:v>
                </c:pt>
                <c:pt idx="864">
                  <c:v>1717.2023254364663</c:v>
                </c:pt>
                <c:pt idx="865">
                  <c:v>1722.6097942290908</c:v>
                </c:pt>
                <c:pt idx="866">
                  <c:v>1728.0285989260824</c:v>
                </c:pt>
                <c:pt idx="867">
                  <c:v>1733.458706881868</c:v>
                </c:pt>
                <c:pt idx="868">
                  <c:v>1738.9000857606511</c:v>
                </c:pt>
                <c:pt idx="869">
                  <c:v>1744.3527035318784</c:v>
                </c:pt>
                <c:pt idx="870">
                  <c:v>1749.8165284657991</c:v>
                </c:pt>
                <c:pt idx="871">
                  <c:v>1755.291529129096</c:v>
                </c:pt>
                <c:pt idx="872">
                  <c:v>1760.7776743805994</c:v>
                </c:pt>
                <c:pt idx="873">
                  <c:v>1766.2749333670718</c:v>
                </c:pt>
                <c:pt idx="874">
                  <c:v>1771.7832755190759</c:v>
                </c:pt>
                <c:pt idx="875">
                  <c:v>1777.3026705469065</c:v>
                </c:pt>
                <c:pt idx="876">
                  <c:v>1782.8330884366005</c:v>
                </c:pt>
                <c:pt idx="877">
                  <c:v>1788.3744994460167</c:v>
                </c:pt>
                <c:pt idx="878">
                  <c:v>1793.9268741009828</c:v>
                </c:pt>
                <c:pt idx="879">
                  <c:v>1799.4901831915099</c:v>
                </c:pt>
                <c:pt idx="880">
                  <c:v>1805.0643977680779</c:v>
                </c:pt>
                <c:pt idx="881">
                  <c:v>1810.6494891379789</c:v>
                </c:pt>
                <c:pt idx="882">
                  <c:v>1816.2454288617328</c:v>
                </c:pt>
                <c:pt idx="883">
                  <c:v>1821.8521887495572</c:v>
                </c:pt>
                <c:pt idx="884">
                  <c:v>1827.4697408579057</c:v>
                </c:pt>
                <c:pt idx="885">
                  <c:v>1833.0980574860594</c:v>
                </c:pt>
                <c:pt idx="886">
                  <c:v>1838.7371111727866</c:v>
                </c:pt>
                <c:pt idx="887">
                  <c:v>1844.3868746930493</c:v>
                </c:pt>
                <c:pt idx="888">
                  <c:v>1850.0473210547784</c:v>
                </c:pt>
                <c:pt idx="889">
                  <c:v>1855.718423495691</c:v>
                </c:pt>
                <c:pt idx="890">
                  <c:v>1861.4001554801766</c:v>
                </c:pt>
                <c:pt idx="891">
                  <c:v>1867.0924906962246</c:v>
                </c:pt>
                <c:pt idx="892">
                  <c:v>1872.7954030524118</c:v>
                </c:pt>
                <c:pt idx="893">
                  <c:v>1878.5088666749371</c:v>
                </c:pt>
                <c:pt idx="894">
                  <c:v>1884.23285590471</c:v>
                </c:pt>
                <c:pt idx="895">
                  <c:v>1889.9673452944869</c:v>
                </c:pt>
                <c:pt idx="896">
                  <c:v>1895.7123096060529</c:v>
                </c:pt>
                <c:pt idx="897">
                  <c:v>1901.4677238074578</c:v>
                </c:pt>
                <c:pt idx="898">
                  <c:v>1907.2335630702914</c:v>
                </c:pt>
                <c:pt idx="899">
                  <c:v>1913.0098027670115</c:v>
                </c:pt>
                <c:pt idx="900">
                  <c:v>1918.796418468311</c:v>
                </c:pt>
                <c:pt idx="901">
                  <c:v>1924.5933859405304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E-4C9F-AD37-03EEE8436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196975"/>
        <c:axId val="1349179215"/>
      </c:lineChart>
      <c:catAx>
        <c:axId val="134919697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79215"/>
        <c:crosses val="autoZero"/>
        <c:auto val="1"/>
        <c:lblAlgn val="ctr"/>
        <c:lblOffset val="100"/>
        <c:noMultiLvlLbl val="0"/>
      </c:catAx>
      <c:valAx>
        <c:axId val="13491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34919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Revenue by session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PivotTable!$A$4:$A$7</c:f>
              <c:strCache>
                <c:ptCount val="3"/>
                <c:pt idx="0">
                  <c:v>Artificial Intelligence</c:v>
                </c:pt>
                <c:pt idx="1">
                  <c:v>Cybersecurity</c:v>
                </c:pt>
                <c:pt idx="2">
                  <c:v>Data Analytics</c:v>
                </c:pt>
              </c:strCache>
            </c:strRef>
          </c:cat>
          <c:val>
            <c:numRef>
              <c:f>PivotTable!$B$4:$B$7</c:f>
              <c:numCache>
                <c:formatCode>General</c:formatCode>
                <c:ptCount val="3"/>
                <c:pt idx="0">
                  <c:v>23100</c:v>
                </c:pt>
                <c:pt idx="1">
                  <c:v>9600</c:v>
                </c:pt>
                <c:pt idx="2">
                  <c:v>15300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52-4C16-82D3-61E3B033E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348416"/>
        <c:axId val="128348896"/>
      </c:barChart>
      <c:catAx>
        <c:axId val="12834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896"/>
        <c:crosses val="autoZero"/>
        <c:auto val="1"/>
        <c:lblAlgn val="ctr"/>
        <c:lblOffset val="100"/>
        <c:noMultiLvlLbl val="0"/>
      </c:catAx>
      <c:valAx>
        <c:axId val="1283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2834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[Automation_and_Advanced_Techniques_With_Copilot.xlsm]PivotTable2!Tabela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Attendee</a:t>
            </a:r>
            <a:r>
              <a:rPr lang="pt-PT" baseline="0"/>
              <a:t> Trend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PivotTable2!$A$4:$A$7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PivotTable2!$B$4:$B$7</c:f>
              <c:numCache>
                <c:formatCode>General</c:formatCode>
                <c:ptCount val="3"/>
                <c:pt idx="0">
                  <c:v>5</c:v>
                </c:pt>
                <c:pt idx="1">
                  <c:v>42</c:v>
                </c:pt>
                <c:pt idx="2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1A-48D2-87EF-D5426D1DE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7778336"/>
        <c:axId val="257774016"/>
      </c:lineChart>
      <c:catAx>
        <c:axId val="25777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4016"/>
        <c:crosses val="autoZero"/>
        <c:auto val="1"/>
        <c:lblAlgn val="ctr"/>
        <c:lblOffset val="100"/>
        <c:noMultiLvlLbl val="0"/>
      </c:catAx>
      <c:valAx>
        <c:axId val="25777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5777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[Automation_and_Advanced_Techniques_With_Copilot.xlsm]PivotTable3!Tabela Dinâmica2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PivotTable3!$B$3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7D-6741-8C6A-EF6AF0E7D7F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7D-6741-8C6A-EF6AF0E7D7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PivotTable3!$A$4:$A$6</c:f>
              <c:strCache>
                <c:ptCount val="2"/>
                <c:pt idx="0">
                  <c:v>In-Person</c:v>
                </c:pt>
                <c:pt idx="1">
                  <c:v>Online</c:v>
                </c:pt>
              </c:strCache>
            </c:strRef>
          </c:cat>
          <c:val>
            <c:numRef>
              <c:f>PivotTable3!$B$4:$B$6</c:f>
              <c:numCache>
                <c:formatCode>0.00%</c:formatCode>
                <c:ptCount val="2"/>
                <c:pt idx="0">
                  <c:v>0.49494949494949497</c:v>
                </c:pt>
                <c:pt idx="1">
                  <c:v>0.50505050505050508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1-4C15-9A9E-CDF81917793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38100</xdr:rowOff>
        </xdr:from>
        <xdr:to>
          <xdr:col>11</xdr:col>
          <xdr:colOff>444500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Submit/Update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130175</xdr:colOff>
      <xdr:row>0</xdr:row>
      <xdr:rowOff>161925</xdr:rowOff>
    </xdr:from>
    <xdr:to>
      <xdr:col>16</xdr:col>
      <xdr:colOff>409575</xdr:colOff>
      <xdr:row>6</xdr:row>
      <xdr:rowOff>168275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D9ACC0E-CE43-A80D-0A55-F80ED588E537}"/>
            </a:ext>
          </a:extLst>
        </xdr:cNvPr>
        <xdr:cNvSpPr/>
      </xdr:nvSpPr>
      <xdr:spPr>
        <a:xfrm>
          <a:off x="739775" y="161925"/>
          <a:ext cx="9423400" cy="1092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3200" b="1"/>
            <a:t>Event</a:t>
          </a:r>
          <a:r>
            <a:rPr lang="pt-PT" sz="3200" b="1" baseline="0"/>
            <a:t> Dashboard</a:t>
          </a:r>
          <a:endParaRPr lang="pt-PT" sz="3200" b="1"/>
        </a:p>
      </xdr:txBody>
    </xdr:sp>
    <xdr:clientData/>
  </xdr:twoCellAnchor>
  <xdr:twoCellAnchor>
    <xdr:from>
      <xdr:col>8</xdr:col>
      <xdr:colOff>590550</xdr:colOff>
      <xdr:row>7</xdr:row>
      <xdr:rowOff>111125</xdr:rowOff>
    </xdr:from>
    <xdr:to>
      <xdr:col>16</xdr:col>
      <xdr:colOff>285750</xdr:colOff>
      <xdr:row>22</xdr:row>
      <xdr:rowOff>111125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7E36430-F9A2-42DF-A0B6-7033B9E3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22</xdr:row>
      <xdr:rowOff>139700</xdr:rowOff>
    </xdr:from>
    <xdr:to>
      <xdr:col>16</xdr:col>
      <xdr:colOff>266700</xdr:colOff>
      <xdr:row>38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ED86B5F-C90C-4B97-81F6-E12F7173C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571500</xdr:colOff>
      <xdr:row>22</xdr:row>
      <xdr:rowOff>114300</xdr:rowOff>
    </xdr:from>
    <xdr:to>
      <xdr:col>6</xdr:col>
      <xdr:colOff>482600</xdr:colOff>
      <xdr:row>37</xdr:row>
      <xdr:rowOff>158750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3771AD2-C779-4F7B-ACD6-EBCE13D22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44450</xdr:colOff>
      <xdr:row>11</xdr:row>
      <xdr:rowOff>0</xdr:rowOff>
    </xdr:from>
    <xdr:to>
      <xdr:col>4</xdr:col>
      <xdr:colOff>104775</xdr:colOff>
      <xdr:row>16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Attendance Type">
              <a:extLst>
                <a:ext uri="{FF2B5EF4-FFF2-40B4-BE49-F238E27FC236}">
                  <a16:creationId xmlns:a16="http://schemas.microsoft.com/office/drawing/2014/main" id="{3483BAAB-751F-5E81-344B-20E60C571C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tendance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66825" y="2028825"/>
              <a:ext cx="1825625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28575</xdr:colOff>
      <xdr:row>16</xdr:row>
      <xdr:rowOff>111125</xdr:rowOff>
    </xdr:from>
    <xdr:to>
      <xdr:col>4</xdr:col>
      <xdr:colOff>82550</xdr:colOff>
      <xdr:row>22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ession Preference">
              <a:extLst>
                <a:ext uri="{FF2B5EF4-FFF2-40B4-BE49-F238E27FC236}">
                  <a16:creationId xmlns:a16="http://schemas.microsoft.com/office/drawing/2014/main" id="{44DAC0DE-D030-2137-1426-D3FC59CED1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ssion Prefer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600" y="3044825"/>
              <a:ext cx="1831975" cy="111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161925</xdr:colOff>
      <xdr:row>11</xdr:row>
      <xdr:rowOff>38100</xdr:rowOff>
    </xdr:from>
    <xdr:to>
      <xdr:col>8</xdr:col>
      <xdr:colOff>495300</xdr:colOff>
      <xdr:row>18</xdr:row>
      <xdr:rowOff>158750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4" name="Registration Date">
              <a:extLst>
                <a:ext uri="{FF2B5EF4-FFF2-40B4-BE49-F238E27FC236}">
                  <a16:creationId xmlns:a16="http://schemas.microsoft.com/office/drawing/2014/main" id="{C0E219A7-5EF1-00D2-9286-04B17760BF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Registration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9600" y="2066925"/>
              <a:ext cx="2774950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Linha cronológica: funciona no Excel 2013 ou superior. Não mover ou redimensionar.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546100</xdr:colOff>
          <xdr:row>7</xdr:row>
          <xdr:rowOff>177800</xdr:rowOff>
        </xdr:from>
        <xdr:to>
          <xdr:col>21</xdr:col>
          <xdr:colOff>50800</xdr:colOff>
          <xdr:row>12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130175</xdr:colOff>
      <xdr:row>0</xdr:row>
      <xdr:rowOff>161925</xdr:rowOff>
    </xdr:from>
    <xdr:to>
      <xdr:col>16</xdr:col>
      <xdr:colOff>409575</xdr:colOff>
      <xdr:row>6</xdr:row>
      <xdr:rowOff>168275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B5E7F8-0209-4302-B8A4-6AF15A8BC1A9}"/>
            </a:ext>
          </a:extLst>
        </xdr:cNvPr>
        <xdr:cNvSpPr/>
      </xdr:nvSpPr>
      <xdr:spPr>
        <a:xfrm>
          <a:off x="739775" y="158750"/>
          <a:ext cx="9972675" cy="10953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3200" b="1"/>
            <a:t>Budget challenge scenario</a:t>
          </a:r>
        </a:p>
      </xdr:txBody>
    </xdr:sp>
    <xdr:clientData/>
  </xdr:twoCellAnchor>
  <xdr:twoCellAnchor>
    <xdr:from>
      <xdr:col>8</xdr:col>
      <xdr:colOff>590550</xdr:colOff>
      <xdr:row>7</xdr:row>
      <xdr:rowOff>111125</xdr:rowOff>
    </xdr:from>
    <xdr:to>
      <xdr:col>16</xdr:col>
      <xdr:colOff>285750</xdr:colOff>
      <xdr:row>22</xdr:row>
      <xdr:rowOff>111125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40BB04-1409-4C25-A9BF-9350E42DD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95250</xdr:colOff>
      <xdr:row>22</xdr:row>
      <xdr:rowOff>139700</xdr:rowOff>
    </xdr:from>
    <xdr:to>
      <xdr:col>16</xdr:col>
      <xdr:colOff>266700</xdr:colOff>
      <xdr:row>38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5C746EE-C4E4-4EB4-868F-0C80C9AC4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571500</xdr:colOff>
      <xdr:row>22</xdr:row>
      <xdr:rowOff>114300</xdr:rowOff>
    </xdr:from>
    <xdr:to>
      <xdr:col>6</xdr:col>
      <xdr:colOff>482600</xdr:colOff>
      <xdr:row>37</xdr:row>
      <xdr:rowOff>158750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539DB06-0EAC-4DFB-94B5-3C521FEA1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676275</xdr:colOff>
      <xdr:row>8</xdr:row>
      <xdr:rowOff>133350</xdr:rowOff>
    </xdr:from>
    <xdr:to>
      <xdr:col>2</xdr:col>
      <xdr:colOff>2505075</xdr:colOff>
      <xdr:row>13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ttendance Type 1">
              <a:extLst>
                <a:ext uri="{FF2B5EF4-FFF2-40B4-BE49-F238E27FC236}">
                  <a16:creationId xmlns:a16="http://schemas.microsoft.com/office/drawing/2014/main" id="{728A7B1E-88CF-4EE3-BA14-E3307AB698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tendance Typ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2300" y="1581150"/>
              <a:ext cx="18288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663575</xdr:colOff>
      <xdr:row>15</xdr:row>
      <xdr:rowOff>53975</xdr:rowOff>
    </xdr:from>
    <xdr:to>
      <xdr:col>2</xdr:col>
      <xdr:colOff>2492375</xdr:colOff>
      <xdr:row>21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ession Preference 1">
              <a:extLst>
                <a:ext uri="{FF2B5EF4-FFF2-40B4-BE49-F238E27FC236}">
                  <a16:creationId xmlns:a16="http://schemas.microsoft.com/office/drawing/2014/main" id="{2344CC9F-3BC0-45FE-A851-0263BFBFCB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ssion Preferenc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2775" y="2806700"/>
              <a:ext cx="182880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posterior.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285750</xdr:colOff>
      <xdr:row>8</xdr:row>
      <xdr:rowOff>152400</xdr:rowOff>
    </xdr:from>
    <xdr:to>
      <xdr:col>7</xdr:col>
      <xdr:colOff>533400</xdr:colOff>
      <xdr:row>16</xdr:row>
      <xdr:rowOff>53975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Registration Date 1">
              <a:extLst>
                <a:ext uri="{FF2B5EF4-FFF2-40B4-BE49-F238E27FC236}">
                  <a16:creationId xmlns:a16="http://schemas.microsoft.com/office/drawing/2014/main" id="{155F7549-9002-4DE3-BF61-4C0A09E630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Registration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29150" y="1600200"/>
              <a:ext cx="2771775" cy="1387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Linha cronológica: funciona no Excel 2013 ou superior. Não mover ou redimensionar.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546100</xdr:colOff>
          <xdr:row>7</xdr:row>
          <xdr:rowOff>177800</xdr:rowOff>
        </xdr:from>
        <xdr:to>
          <xdr:col>21</xdr:col>
          <xdr:colOff>50800</xdr:colOff>
          <xdr:row>12</xdr:row>
          <xdr:rowOff>50800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433315</xdr:colOff>
      <xdr:row>1</xdr:row>
      <xdr:rowOff>126061</xdr:rowOff>
    </xdr:from>
    <xdr:to>
      <xdr:col>28</xdr:col>
      <xdr:colOff>490465</xdr:colOff>
      <xdr:row>26</xdr:row>
      <xdr:rowOff>7792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A043E2-2508-6B3B-9A0E-9DA5336D4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403658</xdr:colOff>
      <xdr:row>28</xdr:row>
      <xdr:rowOff>11835</xdr:rowOff>
    </xdr:from>
    <xdr:to>
      <xdr:col>28</xdr:col>
      <xdr:colOff>411162</xdr:colOff>
      <xdr:row>52</xdr:row>
      <xdr:rowOff>112208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7129366-9304-4E0C-B57F-00442A149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433315</xdr:colOff>
      <xdr:row>1</xdr:row>
      <xdr:rowOff>126061</xdr:rowOff>
    </xdr:from>
    <xdr:to>
      <xdr:col>28</xdr:col>
      <xdr:colOff>490465</xdr:colOff>
      <xdr:row>26</xdr:row>
      <xdr:rowOff>7792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E0462E-4902-4D2F-A95E-2FAC01CF3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403658</xdr:colOff>
      <xdr:row>28</xdr:row>
      <xdr:rowOff>11835</xdr:rowOff>
    </xdr:from>
    <xdr:to>
      <xdr:col>28</xdr:col>
      <xdr:colOff>411162</xdr:colOff>
      <xdr:row>52</xdr:row>
      <xdr:rowOff>112208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F37DE92-6668-4BC6-9578-D83DEF749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8</xdr:row>
      <xdr:rowOff>58737</xdr:rowOff>
    </xdr:from>
    <xdr:to>
      <xdr:col>12</xdr:col>
      <xdr:colOff>323850</xdr:colOff>
      <xdr:row>23</xdr:row>
      <xdr:rowOff>93662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DE7642-CE3D-CF06-9930-3755DA1C2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10</xdr:row>
      <xdr:rowOff>147637</xdr:rowOff>
    </xdr:from>
    <xdr:to>
      <xdr:col>14</xdr:col>
      <xdr:colOff>0</xdr:colOff>
      <xdr:row>25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B352AFD-3F6D-3EDE-C15C-72D5587C5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5</xdr:row>
      <xdr:rowOff>11112</xdr:rowOff>
    </xdr:from>
    <xdr:to>
      <xdr:col>13</xdr:col>
      <xdr:colOff>247650</xdr:colOff>
      <xdr:row>20</xdr:row>
      <xdr:rowOff>46037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FB1015D-0F48-34E9-2053-D45079711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" refreshedDate="45894.658993055556" createdVersion="8" refreshedVersion="8" minRefreshableVersion="3" recordCount="99" xr:uid="{B9FF6CFD-323C-419A-A732-9A7603F03F44}">
  <cacheSource type="worksheet">
    <worksheetSource ref="A1:H100" sheet="Database"/>
  </cacheSource>
  <cacheFields count="11">
    <cacheField name="ID" numFmtId="0">
      <sharedItems/>
    </cacheField>
    <cacheField name="Name" numFmtId="0">
      <sharedItems/>
    </cacheField>
    <cacheField name="Email" numFmtId="0">
      <sharedItems/>
    </cacheField>
    <cacheField name="Phone Number" numFmtId="0">
      <sharedItems/>
    </cacheField>
    <cacheField name="Attendance Type" numFmtId="0">
      <sharedItems count="2">
        <s v="Online"/>
        <s v="In-Person"/>
      </sharedItems>
    </cacheField>
    <cacheField name="Session Preference" numFmtId="0">
      <sharedItems count="3">
        <s v="Data Analytics"/>
        <s v="Artificial Intelligence"/>
        <s v="Cybersecurity"/>
      </sharedItems>
    </cacheField>
    <cacheField name="Ticket Price (€)" numFmtId="168">
      <sharedItems containsSemiMixedTypes="0" containsString="0" containsNumber="1" containsInteger="1" minValue="300" maxValue="700"/>
    </cacheField>
    <cacheField name="Registration Date" numFmtId="165">
      <sharedItems containsSemiMixedTypes="0" containsNonDate="0" containsDate="1" containsString="0" minDate="2022-11-13T00:00:00" maxDate="2024-11-03T00:00:00" count="94">
        <d v="2022-11-13T00:00:00"/>
        <d v="2022-12-14T00:00:00"/>
        <d v="2022-12-20T00:00:00"/>
        <d v="2022-12-26T00:00:00"/>
        <d v="2022-12-31T00:00:00"/>
        <d v="2023-01-11T00:00:00"/>
        <d v="2023-01-15T00:00:00"/>
        <d v="2023-01-17T00:00:00"/>
        <d v="2023-02-05T00:00:00"/>
        <d v="2023-02-09T00:00:00"/>
        <d v="2023-02-14T00:00:00"/>
        <d v="2023-02-18T00:00:00"/>
        <d v="2023-02-19T00:00:00"/>
        <d v="2023-02-21T00:00:00"/>
        <d v="2023-02-22T00:00:00"/>
        <d v="2023-02-25T00:00:00"/>
        <d v="2023-03-14T00:00:00"/>
        <d v="2023-04-03T00:00:00"/>
        <d v="2023-04-10T00:00:00"/>
        <d v="2023-04-12T00:00:00"/>
        <d v="2023-04-20T00:00:00"/>
        <d v="2023-04-24T00:00:00"/>
        <d v="2023-04-25T00:00:00"/>
        <d v="2023-05-02T00:00:00"/>
        <d v="2023-05-25T00:00:00"/>
        <d v="2023-05-26T00:00:00"/>
        <d v="2023-06-17T00:00:00"/>
        <d v="2023-06-24T00:00:00"/>
        <d v="2023-07-06T00:00:00"/>
        <d v="2023-07-07T00:00:00"/>
        <d v="2023-07-24T00:00:00"/>
        <d v="2023-07-26T00:00:00"/>
        <d v="2023-07-31T00:00:00"/>
        <d v="2023-08-04T00:00:00"/>
        <d v="2023-08-17T00:00:00"/>
        <d v="2023-09-09T00:00:00"/>
        <d v="2023-09-11T00:00:00"/>
        <d v="2023-09-30T00:00:00"/>
        <d v="2023-10-14T00:00:00"/>
        <d v="2023-10-16T00:00:00"/>
        <d v="2023-10-25T00:00:00"/>
        <d v="2023-10-31T00:00:00"/>
        <d v="2023-11-03T00:00:00"/>
        <d v="2023-11-30T00:00:00"/>
        <d v="2023-12-03T00:00:00"/>
        <d v="2023-12-09T00:00:00"/>
        <d v="2024-01-08T00:00:00"/>
        <d v="2024-01-16T00:00:00"/>
        <d v="2024-01-22T00:00:00"/>
        <d v="2024-01-24T00:00:00"/>
        <d v="2024-01-31T00:00:00"/>
        <d v="2024-02-08T00:00:00"/>
        <d v="2024-02-09T00:00:00"/>
        <d v="2024-02-11T00:00:00"/>
        <d v="2024-02-16T00:00:00"/>
        <d v="2024-02-21T00:00:00"/>
        <d v="2024-02-23T00:00:00"/>
        <d v="2024-02-27T00:00:00"/>
        <d v="2024-02-28T00:00:00"/>
        <d v="2024-03-02T00:00:00"/>
        <d v="2024-03-17T00:00:00"/>
        <d v="2024-03-22T00:00:00"/>
        <d v="2024-03-24T00:00:00"/>
        <d v="2024-04-09T00:00:00"/>
        <d v="2024-04-17T00:00:00"/>
        <d v="2024-04-28T00:00:00"/>
        <d v="2024-05-04T00:00:00"/>
        <d v="2024-05-13T00:00:00"/>
        <d v="2024-05-25T00:00:00"/>
        <d v="2024-06-13T00:00:00"/>
        <d v="2024-06-16T00:00:00"/>
        <d v="2024-06-18T00:00:00"/>
        <d v="2024-06-23T00:00:00"/>
        <d v="2024-06-27T00:00:00"/>
        <d v="2024-06-28T00:00:00"/>
        <d v="2024-07-01T00:00:00"/>
        <d v="2024-07-03T00:00:00"/>
        <d v="2024-07-11T00:00:00"/>
        <d v="2024-08-02T00:00:00"/>
        <d v="2024-08-09T00:00:00"/>
        <d v="2024-08-14T00:00:00"/>
        <d v="2024-08-22T00:00:00"/>
        <d v="2024-08-26T00:00:00"/>
        <d v="2024-08-29T00:00:00"/>
        <d v="2024-08-30T00:00:00"/>
        <d v="2024-09-25T00:00:00"/>
        <d v="2024-09-27T00:00:00"/>
        <d v="2024-10-01T00:00:00"/>
        <d v="2024-10-06T00:00:00"/>
        <d v="2024-10-16T00:00:00"/>
        <d v="2024-10-23T00:00:00"/>
        <d v="2024-10-25T00:00:00"/>
        <d v="2024-10-28T00:00:00"/>
        <d v="2024-11-02T00:00:00"/>
      </sharedItems>
      <fieldGroup par="10"/>
    </cacheField>
    <cacheField name="Meses (Registration Date)" numFmtId="0" databaseField="0">
      <fieldGroup base="7">
        <rangePr groupBy="months" startDate="2022-11-13T00:00:00" endDate="2024-11-03T00:00:00"/>
        <groupItems count="14">
          <s v="&lt;13/1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3/11/2024"/>
        </groupItems>
      </fieldGroup>
    </cacheField>
    <cacheField name="Trimestres (Registration Date)" numFmtId="0" databaseField="0">
      <fieldGroup base="7">
        <rangePr groupBy="quarters" startDate="2022-11-13T00:00:00" endDate="2024-11-03T00:00:00"/>
        <groupItems count="6">
          <s v="&lt;13/11/2022"/>
          <s v="Trim1"/>
          <s v="Trim2"/>
          <s v="Trim3"/>
          <s v="Trim4"/>
          <s v="&gt;03/11/2024"/>
        </groupItems>
      </fieldGroup>
    </cacheField>
    <cacheField name="Anos (Registration Date)" numFmtId="0" databaseField="0">
      <fieldGroup base="7">
        <rangePr groupBy="years" startDate="2022-11-13T00:00:00" endDate="2024-11-03T00:00:00"/>
        <groupItems count="5">
          <s v="&lt;13/11/2022"/>
          <s v="2022"/>
          <s v="2023"/>
          <s v="2024"/>
          <s v="&gt;03/11/2024"/>
        </groupItems>
      </fieldGroup>
    </cacheField>
  </cacheFields>
  <extLst>
    <ext xmlns:x14="http://schemas.microsoft.com/office/spreadsheetml/2009/9/main" uri="{725AE2AE-9491-48be-B2B4-4EB974FC3084}">
      <x14:pivotCacheDefinition pivotCacheId="20118459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s v="A001"/>
    <s v="Participant 1"/>
    <s v="Participant1@example.com"/>
    <s v="555-0001"/>
    <x v="0"/>
    <x v="0"/>
    <n v="450"/>
    <x v="0"/>
  </r>
  <r>
    <s v="A002"/>
    <s v="Participant 2"/>
    <s v="Participant2@example.com"/>
    <s v="555-0002"/>
    <x v="1"/>
    <x v="0"/>
    <n v="450"/>
    <x v="1"/>
  </r>
  <r>
    <s v="A003"/>
    <s v="Participant 3"/>
    <s v="Participant3@example.com"/>
    <s v="555-0003"/>
    <x v="0"/>
    <x v="1"/>
    <n v="700"/>
    <x v="2"/>
  </r>
  <r>
    <s v="A004"/>
    <s v="Participant 4"/>
    <s v="Participant4@example.com"/>
    <s v="555-0004"/>
    <x v="1"/>
    <x v="2"/>
    <n v="300"/>
    <x v="3"/>
  </r>
  <r>
    <s v="A005"/>
    <s v="Participant 5"/>
    <s v="Participant5@example.com"/>
    <s v="555-0005"/>
    <x v="0"/>
    <x v="0"/>
    <n v="450"/>
    <x v="4"/>
  </r>
  <r>
    <s v="A006"/>
    <s v="Participant 6"/>
    <s v="Participant6@example.com"/>
    <s v="555-0006"/>
    <x v="1"/>
    <x v="1"/>
    <n v="700"/>
    <x v="5"/>
  </r>
  <r>
    <s v="A007"/>
    <s v="Participant 7"/>
    <s v="Participant7@example.com"/>
    <s v="555-0007"/>
    <x v="0"/>
    <x v="2"/>
    <n v="300"/>
    <x v="6"/>
  </r>
  <r>
    <s v="A008"/>
    <s v="Participant 8"/>
    <s v="Participant8@example.com"/>
    <s v="555-0008"/>
    <x v="1"/>
    <x v="0"/>
    <n v="450"/>
    <x v="7"/>
  </r>
  <r>
    <s v="A009"/>
    <s v="Participant 9"/>
    <s v="Participant9@example.com"/>
    <s v="555-0009"/>
    <x v="0"/>
    <x v="1"/>
    <n v="700"/>
    <x v="8"/>
  </r>
  <r>
    <s v="A010"/>
    <s v="Participant 10"/>
    <s v="Participant10@example.com"/>
    <s v="555-0010"/>
    <x v="1"/>
    <x v="2"/>
    <n v="300"/>
    <x v="9"/>
  </r>
  <r>
    <s v="A011"/>
    <s v="Participant 11"/>
    <s v="Participant11@example.com"/>
    <s v="555-0011"/>
    <x v="0"/>
    <x v="0"/>
    <n v="450"/>
    <x v="10"/>
  </r>
  <r>
    <s v="A012"/>
    <s v="Participant 12"/>
    <s v="Participant12@example.com"/>
    <s v="555-0012"/>
    <x v="1"/>
    <x v="1"/>
    <n v="700"/>
    <x v="11"/>
  </r>
  <r>
    <s v="A013"/>
    <s v="Participant 13"/>
    <s v="Participant13@example.com"/>
    <s v="555-0013"/>
    <x v="0"/>
    <x v="2"/>
    <n v="300"/>
    <x v="12"/>
  </r>
  <r>
    <s v="A014"/>
    <s v="Participant 14"/>
    <s v="Participant14@example.com"/>
    <s v="555-0014"/>
    <x v="1"/>
    <x v="0"/>
    <n v="450"/>
    <x v="13"/>
  </r>
  <r>
    <s v="A015"/>
    <s v="Participant 15"/>
    <s v="Participant15@example.com"/>
    <s v="555-0015"/>
    <x v="0"/>
    <x v="1"/>
    <n v="700"/>
    <x v="14"/>
  </r>
  <r>
    <s v="A016"/>
    <s v="Participant 16"/>
    <s v="Participant16@example.com"/>
    <s v="555-0016"/>
    <x v="1"/>
    <x v="2"/>
    <n v="300"/>
    <x v="15"/>
  </r>
  <r>
    <s v="A017"/>
    <s v="Participant 17"/>
    <s v="Participant17@example.com"/>
    <s v="555-0017"/>
    <x v="0"/>
    <x v="0"/>
    <n v="450"/>
    <x v="16"/>
  </r>
  <r>
    <s v="A018"/>
    <s v="Participant 18"/>
    <s v="Participant18@example.com"/>
    <s v="555-0018"/>
    <x v="1"/>
    <x v="1"/>
    <n v="700"/>
    <x v="17"/>
  </r>
  <r>
    <s v="A019"/>
    <s v="Participant 19"/>
    <s v="Participant19@example.com"/>
    <s v="555-0019"/>
    <x v="0"/>
    <x v="2"/>
    <n v="300"/>
    <x v="18"/>
  </r>
  <r>
    <s v="A020"/>
    <s v="Participant 20"/>
    <s v="Participant20@example.com"/>
    <s v="555-0020"/>
    <x v="1"/>
    <x v="0"/>
    <n v="450"/>
    <x v="19"/>
  </r>
  <r>
    <s v="A021"/>
    <s v="Participant 21"/>
    <s v="Participant21@example.com"/>
    <s v="555-0021"/>
    <x v="0"/>
    <x v="1"/>
    <n v="700"/>
    <x v="20"/>
  </r>
  <r>
    <s v="A022"/>
    <s v="Participant 22"/>
    <s v="Participant22@example.com"/>
    <s v="555-0022"/>
    <x v="1"/>
    <x v="2"/>
    <n v="300"/>
    <x v="21"/>
  </r>
  <r>
    <s v="A023"/>
    <s v="Participant 23"/>
    <s v="Participant23@example.com"/>
    <s v="555-0023"/>
    <x v="0"/>
    <x v="0"/>
    <n v="450"/>
    <x v="22"/>
  </r>
  <r>
    <s v="A024"/>
    <s v="Participant 24"/>
    <s v="Participant24@example.com"/>
    <s v="555-0024"/>
    <x v="1"/>
    <x v="1"/>
    <n v="700"/>
    <x v="23"/>
  </r>
  <r>
    <s v="A025"/>
    <s v="Participant 25"/>
    <s v="Participant25@example.com"/>
    <s v="555-0025"/>
    <x v="0"/>
    <x v="2"/>
    <n v="300"/>
    <x v="24"/>
  </r>
  <r>
    <s v="A026"/>
    <s v="Participant 26"/>
    <s v="Participant26@example.com"/>
    <s v="555-0026"/>
    <x v="1"/>
    <x v="0"/>
    <n v="450"/>
    <x v="25"/>
  </r>
  <r>
    <s v="A027"/>
    <s v="Participant 27"/>
    <s v="Participant27@example.com"/>
    <s v="555-0027"/>
    <x v="0"/>
    <x v="1"/>
    <n v="700"/>
    <x v="26"/>
  </r>
  <r>
    <s v="A028"/>
    <s v="Participant 28"/>
    <s v="Participant28@example.com"/>
    <s v="555-0028"/>
    <x v="1"/>
    <x v="2"/>
    <n v="300"/>
    <x v="27"/>
  </r>
  <r>
    <s v="A029"/>
    <s v="Participant 29"/>
    <s v="Participant29@example.com"/>
    <s v="555-0029"/>
    <x v="0"/>
    <x v="0"/>
    <n v="450"/>
    <x v="28"/>
  </r>
  <r>
    <s v="A030"/>
    <s v="Participant 30"/>
    <s v="Participant30@example.com"/>
    <s v="555-0030"/>
    <x v="1"/>
    <x v="1"/>
    <n v="700"/>
    <x v="29"/>
  </r>
  <r>
    <s v="A031"/>
    <s v="Participant 31"/>
    <s v="Participant31@example.com"/>
    <s v="555-0031"/>
    <x v="0"/>
    <x v="2"/>
    <n v="300"/>
    <x v="30"/>
  </r>
  <r>
    <s v="A032"/>
    <s v="Participant 32"/>
    <s v="Participant32@example.com"/>
    <s v="555-0032"/>
    <x v="1"/>
    <x v="0"/>
    <n v="450"/>
    <x v="31"/>
  </r>
  <r>
    <s v="A033"/>
    <s v="Participant 33"/>
    <s v="Participant33@example.com"/>
    <s v="555-0033"/>
    <x v="0"/>
    <x v="1"/>
    <n v="700"/>
    <x v="32"/>
  </r>
  <r>
    <s v="A034"/>
    <s v="Participant 34"/>
    <s v="Participant34@example.com"/>
    <s v="555-0034"/>
    <x v="1"/>
    <x v="2"/>
    <n v="300"/>
    <x v="33"/>
  </r>
  <r>
    <s v="A035"/>
    <s v="Participant 35"/>
    <s v="Participant35@example.com"/>
    <s v="555-0035"/>
    <x v="0"/>
    <x v="0"/>
    <n v="450"/>
    <x v="34"/>
  </r>
  <r>
    <s v="A036"/>
    <s v="Participant 36"/>
    <s v="Participant36@example.com"/>
    <s v="555-0036"/>
    <x v="1"/>
    <x v="1"/>
    <n v="700"/>
    <x v="34"/>
  </r>
  <r>
    <s v="A037"/>
    <s v="Participant 37"/>
    <s v="Participant37@example.com"/>
    <s v="555-0037"/>
    <x v="0"/>
    <x v="2"/>
    <n v="300"/>
    <x v="35"/>
  </r>
  <r>
    <s v="A038"/>
    <s v="Participant 38"/>
    <s v="Participant38@example.com"/>
    <s v="555-0038"/>
    <x v="1"/>
    <x v="0"/>
    <n v="450"/>
    <x v="36"/>
  </r>
  <r>
    <s v="A039"/>
    <s v="Participant 39"/>
    <s v="Participant39@example.com"/>
    <s v="555-0039"/>
    <x v="0"/>
    <x v="1"/>
    <n v="700"/>
    <x v="37"/>
  </r>
  <r>
    <s v="A040"/>
    <s v="Participant 40"/>
    <s v="Participant40@example.com"/>
    <s v="555-0040"/>
    <x v="1"/>
    <x v="2"/>
    <n v="300"/>
    <x v="38"/>
  </r>
  <r>
    <s v="A041"/>
    <s v="Participant 41"/>
    <s v="Participant41@example.com"/>
    <s v="555-0041"/>
    <x v="0"/>
    <x v="0"/>
    <n v="450"/>
    <x v="39"/>
  </r>
  <r>
    <s v="A042"/>
    <s v="Participant 42"/>
    <s v="Participant42@example.com"/>
    <s v="555-0042"/>
    <x v="1"/>
    <x v="1"/>
    <n v="700"/>
    <x v="40"/>
  </r>
  <r>
    <s v="A043"/>
    <s v="Participant 43"/>
    <s v="Participant43@example.com"/>
    <s v="555-0043"/>
    <x v="0"/>
    <x v="2"/>
    <n v="300"/>
    <x v="41"/>
  </r>
  <r>
    <s v="A044"/>
    <s v="Participant 44"/>
    <s v="Participant44@example.com"/>
    <s v="555-0044"/>
    <x v="1"/>
    <x v="0"/>
    <n v="450"/>
    <x v="42"/>
  </r>
  <r>
    <s v="A045"/>
    <s v="Participant 45"/>
    <s v="Participant45@example.com"/>
    <s v="555-0045"/>
    <x v="0"/>
    <x v="1"/>
    <n v="700"/>
    <x v="43"/>
  </r>
  <r>
    <s v="A046"/>
    <s v="Participant 46"/>
    <s v="Participant46@example.com"/>
    <s v="555-0046"/>
    <x v="1"/>
    <x v="2"/>
    <n v="300"/>
    <x v="44"/>
  </r>
  <r>
    <s v="A047"/>
    <s v="Participant 47"/>
    <s v="Participant47@example.com"/>
    <s v="555-0047"/>
    <x v="0"/>
    <x v="0"/>
    <n v="450"/>
    <x v="45"/>
  </r>
  <r>
    <s v="A048"/>
    <s v="Participant 48"/>
    <s v="Participant48@example.com"/>
    <s v="555-0048"/>
    <x v="1"/>
    <x v="1"/>
    <n v="700"/>
    <x v="46"/>
  </r>
  <r>
    <s v="A049"/>
    <s v="Participant 49"/>
    <s v="Participant49@example.com"/>
    <s v="555-0049"/>
    <x v="0"/>
    <x v="2"/>
    <n v="300"/>
    <x v="47"/>
  </r>
  <r>
    <s v="A050"/>
    <s v="Participant 50"/>
    <s v="Participant50@example.com"/>
    <s v="555-0050"/>
    <x v="1"/>
    <x v="0"/>
    <n v="450"/>
    <x v="48"/>
  </r>
  <r>
    <s v="A051"/>
    <s v="Participant 51"/>
    <s v="Participant51@example.com"/>
    <s v="555-0051"/>
    <x v="0"/>
    <x v="1"/>
    <n v="700"/>
    <x v="48"/>
  </r>
  <r>
    <s v="A052"/>
    <s v="Participant 52"/>
    <s v="Participant52@example.com"/>
    <s v="555-0052"/>
    <x v="1"/>
    <x v="2"/>
    <n v="300"/>
    <x v="49"/>
  </r>
  <r>
    <s v="A053"/>
    <s v="Participant 53"/>
    <s v="Participant53@example.com"/>
    <s v="555-0053"/>
    <x v="0"/>
    <x v="0"/>
    <n v="450"/>
    <x v="50"/>
  </r>
  <r>
    <s v="A054"/>
    <s v="Participant 54"/>
    <s v="Participant54@example.com"/>
    <s v="555-0054"/>
    <x v="1"/>
    <x v="1"/>
    <n v="700"/>
    <x v="50"/>
  </r>
  <r>
    <s v="A055"/>
    <s v="Participant 55"/>
    <s v="Participant55@example.com"/>
    <s v="555-0055"/>
    <x v="0"/>
    <x v="2"/>
    <n v="300"/>
    <x v="51"/>
  </r>
  <r>
    <s v="A056"/>
    <s v="Participant 56"/>
    <s v="Participant56@example.com"/>
    <s v="555-0056"/>
    <x v="1"/>
    <x v="0"/>
    <n v="450"/>
    <x v="52"/>
  </r>
  <r>
    <s v="A057"/>
    <s v="Participant 57"/>
    <s v="Participant57@example.com"/>
    <s v="555-0057"/>
    <x v="0"/>
    <x v="1"/>
    <n v="700"/>
    <x v="53"/>
  </r>
  <r>
    <s v="A058"/>
    <s v="Participant 58"/>
    <s v="Participant58@example.com"/>
    <s v="555-0058"/>
    <x v="1"/>
    <x v="2"/>
    <n v="300"/>
    <x v="54"/>
  </r>
  <r>
    <s v="A059"/>
    <s v="Participant 59"/>
    <s v="Participant59@example.com"/>
    <s v="555-0059"/>
    <x v="0"/>
    <x v="0"/>
    <n v="450"/>
    <x v="55"/>
  </r>
  <r>
    <s v="A060"/>
    <s v="Participant 60"/>
    <s v="Participant60@example.com"/>
    <s v="555-0060"/>
    <x v="1"/>
    <x v="1"/>
    <n v="700"/>
    <x v="56"/>
  </r>
  <r>
    <s v="A061"/>
    <s v="Participant 61"/>
    <s v="Participant61@example.com"/>
    <s v="555-0061"/>
    <x v="0"/>
    <x v="2"/>
    <n v="300"/>
    <x v="57"/>
  </r>
  <r>
    <s v="A062"/>
    <s v="Participant 62"/>
    <s v="Participant62@example.com"/>
    <s v="555-0062"/>
    <x v="1"/>
    <x v="0"/>
    <n v="450"/>
    <x v="58"/>
  </r>
  <r>
    <s v="A063"/>
    <s v="Participant 63"/>
    <s v="Participant63@example.com"/>
    <s v="555-0063"/>
    <x v="0"/>
    <x v="1"/>
    <n v="700"/>
    <x v="58"/>
  </r>
  <r>
    <s v="A064"/>
    <s v="Participant 64"/>
    <s v="Participant64@example.com"/>
    <s v="555-0064"/>
    <x v="1"/>
    <x v="2"/>
    <n v="300"/>
    <x v="59"/>
  </r>
  <r>
    <s v="A065"/>
    <s v="Participant 65"/>
    <s v="Participant65@example.com"/>
    <s v="555-0065"/>
    <x v="0"/>
    <x v="0"/>
    <n v="450"/>
    <x v="59"/>
  </r>
  <r>
    <s v="A066"/>
    <s v="Participant 66"/>
    <s v="Participant66@example.com"/>
    <s v="555-0066"/>
    <x v="1"/>
    <x v="1"/>
    <n v="700"/>
    <x v="60"/>
  </r>
  <r>
    <s v="A067"/>
    <s v="Participant 67"/>
    <s v="Participant67@example.com"/>
    <s v="555-0067"/>
    <x v="0"/>
    <x v="2"/>
    <n v="300"/>
    <x v="61"/>
  </r>
  <r>
    <s v="A068"/>
    <s v="Participant 68"/>
    <s v="Participant68@example.com"/>
    <s v="555-0068"/>
    <x v="1"/>
    <x v="0"/>
    <n v="450"/>
    <x v="62"/>
  </r>
  <r>
    <s v="A069"/>
    <s v="Participant 69"/>
    <s v="Participant69@example.com"/>
    <s v="555-0069"/>
    <x v="0"/>
    <x v="1"/>
    <n v="700"/>
    <x v="63"/>
  </r>
  <r>
    <s v="A070"/>
    <s v="Participant 70"/>
    <s v="Participant70@example.com"/>
    <s v="555-0070"/>
    <x v="1"/>
    <x v="2"/>
    <n v="300"/>
    <x v="64"/>
  </r>
  <r>
    <s v="A071"/>
    <s v="Participant 71"/>
    <s v="Participant71@example.com"/>
    <s v="555-0071"/>
    <x v="0"/>
    <x v="0"/>
    <n v="450"/>
    <x v="65"/>
  </r>
  <r>
    <s v="A072"/>
    <s v="Participant 72"/>
    <s v="Participant72@example.com"/>
    <s v="555-0072"/>
    <x v="1"/>
    <x v="1"/>
    <n v="700"/>
    <x v="66"/>
  </r>
  <r>
    <s v="A073"/>
    <s v="Participant 73"/>
    <s v="Participant73@example.com"/>
    <s v="555-0073"/>
    <x v="0"/>
    <x v="2"/>
    <n v="300"/>
    <x v="67"/>
  </r>
  <r>
    <s v="A074"/>
    <s v="Participant 74"/>
    <s v="Participant74@example.com"/>
    <s v="555-0074"/>
    <x v="1"/>
    <x v="0"/>
    <n v="450"/>
    <x v="68"/>
  </r>
  <r>
    <s v="A075"/>
    <s v="Participant 75"/>
    <s v="Participant75@example.com"/>
    <s v="555-0075"/>
    <x v="0"/>
    <x v="1"/>
    <n v="700"/>
    <x v="69"/>
  </r>
  <r>
    <s v="A076"/>
    <s v="Participant 76"/>
    <s v="Participant76@example.com"/>
    <s v="555-0076"/>
    <x v="1"/>
    <x v="2"/>
    <n v="300"/>
    <x v="70"/>
  </r>
  <r>
    <s v="A077"/>
    <s v="Participant 77"/>
    <s v="Participant77@example.com"/>
    <s v="555-0077"/>
    <x v="0"/>
    <x v="0"/>
    <n v="450"/>
    <x v="71"/>
  </r>
  <r>
    <s v="A078"/>
    <s v="Participant 78"/>
    <s v="Participant78@example.com"/>
    <s v="555-0078"/>
    <x v="1"/>
    <x v="1"/>
    <n v="700"/>
    <x v="72"/>
  </r>
  <r>
    <s v="A079"/>
    <s v="Participant 79"/>
    <s v="Participant79@example.com"/>
    <s v="555-0079"/>
    <x v="0"/>
    <x v="2"/>
    <n v="300"/>
    <x v="73"/>
  </r>
  <r>
    <s v="A080"/>
    <s v="Participant 80"/>
    <s v="Participant80@example.com"/>
    <s v="555-0080"/>
    <x v="1"/>
    <x v="0"/>
    <n v="450"/>
    <x v="74"/>
  </r>
  <r>
    <s v="A081"/>
    <s v="Participant 81"/>
    <s v="Participant81@example.com"/>
    <s v="555-0081"/>
    <x v="0"/>
    <x v="1"/>
    <n v="700"/>
    <x v="75"/>
  </r>
  <r>
    <s v="A082"/>
    <s v="Participant 82"/>
    <s v="Participant82@example.com"/>
    <s v="555-0082"/>
    <x v="1"/>
    <x v="2"/>
    <n v="300"/>
    <x v="76"/>
  </r>
  <r>
    <s v="A083"/>
    <s v="Participant 83"/>
    <s v="Participant83@example.com"/>
    <s v="555-0083"/>
    <x v="0"/>
    <x v="0"/>
    <n v="450"/>
    <x v="77"/>
  </r>
  <r>
    <s v="A084"/>
    <s v="Participant 84"/>
    <s v="Participant84@example.com"/>
    <s v="555-0084"/>
    <x v="1"/>
    <x v="1"/>
    <n v="700"/>
    <x v="78"/>
  </r>
  <r>
    <s v="A085"/>
    <s v="Participant 85"/>
    <s v="Participant85@example.com"/>
    <s v="555-0085"/>
    <x v="0"/>
    <x v="2"/>
    <n v="300"/>
    <x v="79"/>
  </r>
  <r>
    <s v="A086"/>
    <s v="Participant 86"/>
    <s v="Participant86@example.com"/>
    <s v="555-0086"/>
    <x v="1"/>
    <x v="0"/>
    <n v="450"/>
    <x v="80"/>
  </r>
  <r>
    <s v="A087"/>
    <s v="Participant 87"/>
    <s v="Participant87@example.com"/>
    <s v="555-0087"/>
    <x v="0"/>
    <x v="1"/>
    <n v="700"/>
    <x v="81"/>
  </r>
  <r>
    <s v="A088"/>
    <s v="Participant 88"/>
    <s v="Participant88@example.com"/>
    <s v="555-0088"/>
    <x v="1"/>
    <x v="2"/>
    <n v="300"/>
    <x v="82"/>
  </r>
  <r>
    <s v="A089"/>
    <s v="Participant 89"/>
    <s v="Participant89@example.com"/>
    <s v="555-0089"/>
    <x v="0"/>
    <x v="0"/>
    <n v="450"/>
    <x v="83"/>
  </r>
  <r>
    <s v="A090"/>
    <s v="Participant 90"/>
    <s v="Participant90@example.com"/>
    <s v="555-0090"/>
    <x v="1"/>
    <x v="1"/>
    <n v="700"/>
    <x v="84"/>
  </r>
  <r>
    <s v="A091"/>
    <s v="Participant 91"/>
    <s v="Participant91@example.com"/>
    <s v="555-0091"/>
    <x v="0"/>
    <x v="2"/>
    <n v="300"/>
    <x v="85"/>
  </r>
  <r>
    <s v="A092"/>
    <s v="Participant 92"/>
    <s v="Participant92@example.com"/>
    <s v="555-0092"/>
    <x v="1"/>
    <x v="0"/>
    <n v="450"/>
    <x v="86"/>
  </r>
  <r>
    <s v="A093"/>
    <s v="Participant 93"/>
    <s v="Participant93@example.com"/>
    <s v="555-0093"/>
    <x v="0"/>
    <x v="1"/>
    <n v="700"/>
    <x v="87"/>
  </r>
  <r>
    <s v="A094"/>
    <s v="Participant 94"/>
    <s v="Participant94@example.com"/>
    <s v="555-0094"/>
    <x v="1"/>
    <x v="2"/>
    <n v="300"/>
    <x v="88"/>
  </r>
  <r>
    <s v="A095"/>
    <s v="Participant 95"/>
    <s v="Participant95@example.com"/>
    <s v="555-0095"/>
    <x v="0"/>
    <x v="0"/>
    <n v="450"/>
    <x v="89"/>
  </r>
  <r>
    <s v="A096"/>
    <s v="Participant 96"/>
    <s v="Participant96@example.com"/>
    <s v="555-0096"/>
    <x v="1"/>
    <x v="1"/>
    <n v="700"/>
    <x v="90"/>
  </r>
  <r>
    <s v="A097"/>
    <s v="Participant 97"/>
    <s v="Participant97@example.com"/>
    <s v="555-0097"/>
    <x v="0"/>
    <x v="2"/>
    <n v="300"/>
    <x v="91"/>
  </r>
  <r>
    <s v="A098"/>
    <s v="Participant 98"/>
    <s v="Participant98@example.com"/>
    <s v="555-0098"/>
    <x v="1"/>
    <x v="0"/>
    <n v="450"/>
    <x v="92"/>
  </r>
  <r>
    <s v="A099"/>
    <s v="Participant 99"/>
    <s v="Participant99@example.com"/>
    <s v="555-0099"/>
    <x v="0"/>
    <x v="1"/>
    <n v="700"/>
    <x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D6F604-03A1-4130-873A-279FEFC084E0}" name="Tabela Dinâmica2" cacheId="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1" rowHeaderCaption="Session">
  <location ref="A3:B7" firstHeaderRow="1" firstDataRow="1" firstDataCol="1"/>
  <pivotFields count="11"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dataField="1" showAll="0"/>
    <pivotField numFmtId="165" showAll="0">
      <items count="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Ticket Price (€)" fld="6" baseField="0" baseItem="0"/>
  </dataFields>
  <chartFormats count="3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48" name="Registration Date">
      <autoFilter ref="A1">
        <filterColumn colId="0">
          <customFilters and="1">
            <customFilter operator="greaterThanOrEqual" val="44805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63C405-AEB0-4960-A40E-ABD78E33AA0C}" name="Tabela Dinâmica1" cacheId="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 rowHeaderCaption="Date">
  <location ref="A3:B7" firstHeaderRow="1" firstDataRow="1" firstDataCol="1"/>
  <pivotFields count="11">
    <pivotField dataField="1"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numFmtId="168" showAll="0"/>
    <pivotField axis="axisRow" numFmtId="165" showAll="0">
      <items count="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t="default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sd="0" x="0"/>
        <item sd="0" x="1"/>
        <item sd="0" x="2"/>
        <item sd="0" x="3"/>
        <item sd="0" x="4"/>
      </items>
    </pivotField>
  </pivotFields>
  <rowFields count="4">
    <field x="10"/>
    <field x="9"/>
    <field x="8"/>
    <field x="7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ntagem de ID" fld="0" subtotal="count" baseField="0" baseItem="0"/>
  </dataFields>
  <chartFormats count="3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48" name="Registration Date">
      <autoFilter ref="A1">
        <filterColumn colId="0">
          <customFilters and="1">
            <customFilter operator="greaterThanOrEqual" val="44805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E0C7E7-B270-4608-8954-03B30A02AD8C}" name="Tabela Dinâmica2" cacheId="4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6" rowHeaderCaption="Attendance Type">
  <location ref="A3:B6" firstHeaderRow="1" firstDataRow="1" firstDataCol="1"/>
  <pivotFields count="11"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4">
        <item x="1"/>
        <item x="2"/>
        <item x="0"/>
        <item t="default"/>
      </items>
    </pivotField>
    <pivotField numFmtId="168" showAll="0"/>
    <pivotField numFmtId="165" showAll="0">
      <items count="9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ntagem de ID" fld="0" subtotal="count" showDataAs="percentOfTotal" baseField="4" baseItem="0" numFmtId="10"/>
  </dataField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dateBetween" evalOrder="-1" id="48" name="Registration Date">
      <autoFilter ref="A1">
        <filterColumn colId="0">
          <customFilters and="1">
            <customFilter operator="greaterThanOrEqual" val="44805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tendance_Type" xr10:uid="{6C6E9C5D-36A0-420B-87EB-EDAA00D2F0B0}" sourceName="Attendance Type">
  <pivotTables>
    <pivotTable tabId="3" name="Tabela Dinâmica2"/>
    <pivotTable tabId="9" name="Tabela Dinâmica1"/>
    <pivotTable tabId="10" name="Tabela Dinâmica2"/>
  </pivotTables>
  <data>
    <tabular pivotCacheId="2011845928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ssion_Preference" xr10:uid="{6B3940E4-5974-444D-BD70-43025C60EA5D}" sourceName="Session Preference">
  <pivotTables>
    <pivotTable tabId="3" name="Tabela Dinâmica2"/>
    <pivotTable tabId="9" name="Tabela Dinâmica1"/>
    <pivotTable tabId="10" name="Tabela Dinâmica2"/>
  </pivotTables>
  <data>
    <tabular pivotCacheId="2011845928">
      <items count="3"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ttendance Type" xr10:uid="{E3E32AFD-D6B9-4246-AF1E-077F4CF84DC2}" cache="SegmentaçãoDeDados_Attendance_Type" caption="Attendance Type" rowHeight="241300"/>
  <slicer name="Session Preference" xr10:uid="{6EED9992-31BD-4F52-94B0-5FDB44CED6C7}" cache="SegmentaçãoDeDados_Session_Preference" caption="Session Preferenc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ttendance Type 1" xr10:uid="{938BB07B-1596-45AC-9C57-53DF2F3CAAD7}" cache="SegmentaçãoDeDados_Attendance_Type" caption="Attendance Type" rowHeight="241300"/>
  <slicer name="Session Preference 1" xr10:uid="{792168F3-6194-431B-9643-6AF538196868}" cache="SegmentaçãoDeDados_Session_Preference" caption="Session Preferenc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8BEBD7-F41C-4AB5-89C9-5136A6F85EEB}" name="Tabela2" displayName="Tabela2" ref="A1:E903" totalsRowShown="0">
  <autoFilter ref="A1:E903" xr:uid="{128BEBD7-F41C-4AB5-89C9-5136A6F85EEB}"/>
  <tableColumns count="5">
    <tableColumn id="1" xr3:uid="{DEAA570D-3D53-4704-8E86-3843547FE89A}" name="Date" dataDxfId="11"/>
    <tableColumn id="2" xr3:uid="{C77BB2EF-0D3B-4794-8341-A4461C8C6E30}" name="Count of Attendee ID"/>
    <tableColumn id="3" xr3:uid="{C46DC83B-0774-4A06-A9CF-0E774655797B}" name="Previsão(Count of Attendee ID)">
      <calculatedColumnFormula>_xlfn.FORECAST.ETS(A2,$B$2:$B$722,$A$2:$A$722,1,1)</calculatedColumnFormula>
    </tableColumn>
    <tableColumn id="4" xr3:uid="{A2A7201D-BC7C-414D-928F-184725E1CF25}" name="Limite de Confiança Inferior(Count of Attendee ID)" dataDxfId="10">
      <calculatedColumnFormula>C2-_xlfn.FORECAST.ETS.CONFINT(A2,$B$2:$B$722,$A$2:$A$722,0.95,1,1)</calculatedColumnFormula>
    </tableColumn>
    <tableColumn id="5" xr3:uid="{3D07FEA0-1E07-4955-88EB-E827BFAC0A5F}" name="Limite de Confiança Superior(Count of Attendee ID)" dataDxfId="9">
      <calculatedColumnFormula>C2+_xlfn.FORECAST.ETS.CONFINT(A2,$B$2:$B$722,$A$2:$A$722,0.95,1,1)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1E1420-0DFB-42B6-B6A1-5EF87997427A}" name="Tabela3" displayName="Tabela3" ref="F1:J903" totalsRowShown="0">
  <autoFilter ref="F1:J903" xr:uid="{F31E1420-0DFB-42B6-B6A1-5EF87997427A}"/>
  <tableColumns count="5">
    <tableColumn id="1" xr3:uid="{68E9AE6E-BD81-4C85-8DF0-A2C300E3D8E7}" name="Date" dataDxfId="8"/>
    <tableColumn id="2" xr3:uid="{171F057C-C061-4C99-BDAB-427E2EF0C2BA}" name="Payments per date"/>
    <tableColumn id="3" xr3:uid="{9A864296-6E8F-4D97-AD22-BDCBA8159FC1}" name="Forecast(payments per date)">
      <calculatedColumnFormula>_xlfn.FORECAST.ETS(F2,$G$2:$G$722,$F$2:$F$722,1,1)</calculatedColumnFormula>
    </tableColumn>
    <tableColumn id="4" xr3:uid="{282B3AAF-826C-412B-A534-C3BC80CB52C6}" name="Limite de Confiança Inferior(Sum of payments per date)" dataDxfId="7">
      <calculatedColumnFormula>H2-_xlfn.FORECAST.ETS.CONFINT(F2,$G$2:$G$722,$F$2:$F$722,0.95,1,1)</calculatedColumnFormula>
    </tableColumn>
    <tableColumn id="5" xr3:uid="{9529F810-62CD-4F57-9574-CDE2879EF1D4}" name="Limite de Confiança Superior(Sum of payments per date)" dataDxfId="6">
      <calculatedColumnFormula>H2+_xlfn.FORECAST.ETS.CONFINT(F2,$G$2:$G$722,$F$2:$F$722,0.95,1,1)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7F03BE-A096-47E3-BE92-70DDCA571F5F}" name="Tabela25" displayName="Tabela25" ref="A1:E903" totalsRowShown="0">
  <autoFilter ref="A1:E903" xr:uid="{128BEBD7-F41C-4AB5-89C9-5136A6F85EEB}"/>
  <tableColumns count="5">
    <tableColumn id="1" xr3:uid="{5C4B4150-1112-4E2C-B90F-8406137B6E11}" name="Date" dataDxfId="5"/>
    <tableColumn id="2" xr3:uid="{37BC4404-54ED-43AC-ABAB-43D25B89F3E9}" name="Count of Attendee ID"/>
    <tableColumn id="3" xr3:uid="{3679A9DD-F5D5-4B91-8051-DC7A1634D309}" name="Previsão(Count of Attendee ID)">
      <calculatedColumnFormula>_xlfn.FORECAST.ETS(A2,$B$2:$B$722,$A$2:$A$722,1,1)</calculatedColumnFormula>
    </tableColumn>
    <tableColumn id="4" xr3:uid="{6C649710-3A48-40E0-80DE-8E80813F3B98}" name="Limite de Confiança Inferior(Count of Attendee ID)" dataDxfId="4">
      <calculatedColumnFormula>C2-_xlfn.FORECAST.ETS.CONFINT(A2,$B$2:$B$722,$A$2:$A$722,0.95,1,1)</calculatedColumnFormula>
    </tableColumn>
    <tableColumn id="5" xr3:uid="{84B50089-11E8-4771-9DE9-4A7D568EDD0B}" name="Limite de Confiança Superior(Count of Attendee ID)" dataDxfId="3">
      <calculatedColumnFormula>C2+_xlfn.FORECAST.ETS.CONFINT(A2,$B$2:$B$722,$A$2:$A$722,0.95,1,1)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4F8685-34A9-48AD-92AE-7A3C206AEEC3}" name="Tabela36" displayName="Tabela36" ref="F1:J903" totalsRowShown="0">
  <autoFilter ref="F1:J903" xr:uid="{F31E1420-0DFB-42B6-B6A1-5EF87997427A}"/>
  <tableColumns count="5">
    <tableColumn id="1" xr3:uid="{00BC57E2-5FE4-40CF-902C-6C73B23977F6}" name="Date" dataDxfId="2"/>
    <tableColumn id="2" xr3:uid="{17F33C1C-2CC2-4A5D-B10A-5CD2EA3BD161}" name="Payments per date"/>
    <tableColumn id="3" xr3:uid="{32C33585-53E4-4DC0-A74C-38C31F36C0F0}" name="Forecast(payments per date)">
      <calculatedColumnFormula>_xlfn.FORECAST.ETS(F2,$G$2:$G$722,$F$2:$F$722,1,1)</calculatedColumnFormula>
    </tableColumn>
    <tableColumn id="4" xr3:uid="{22E526F7-78C8-4136-B34B-CCE8F03FE4AA}" name="Limite de Confiança Inferior(Sum of payments per date)" dataDxfId="1">
      <calculatedColumnFormula>H2-_xlfn.FORECAST.ETS.CONFINT(F2,$G$2:$G$722,$F$2:$F$722,0.95,1,1)</calculatedColumnFormula>
    </tableColumn>
    <tableColumn id="5" xr3:uid="{B593C9B9-76E1-4C1D-92B5-813BA3A8703C}" name="Limite de Confiança Superior(Sum of payments per date)" dataDxfId="0">
      <calculatedColumnFormula>H2+_xlfn.FORECAST.ETS.CONFINT(F2,$G$2:$G$722,$F$2:$F$722,0.95,1,1)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LinhaCronológicaNativa_Registration_Date" xr10:uid="{3F44A3C3-1427-4A1C-8013-2AA832483BD1}" sourceName="Registration Date">
  <pivotTables>
    <pivotTable tabId="3" name="Tabela Dinâmica2"/>
    <pivotTable tabId="9" name="Tabela Dinâmica1"/>
    <pivotTable tabId="10" name="Tabela Dinâmica2"/>
  </pivotTables>
  <state minimalRefreshVersion="6" lastRefreshVersion="6" pivotCacheId="2011845928" filterType="dateBetween">
    <selection startDate="2022-09-01T00:00:00" endDate="2024-12-31T00:00:00"/>
    <bounds startDate="2022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Registration Date" xr10:uid="{4A1E6489-C99C-460C-9638-DD6B97E95536}" cache="LinhaCronológicaNativa_Registration_Date" caption="Registration Date" level="2" selectionLevel="2" scrollPosition="2022-09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Registration Date 1" xr10:uid="{E5B61E2D-EC0D-47C7-A914-D1A54C5142E4}" cache="LinhaCronológicaNativa_Registration_Date" caption="Registration Date" level="2" selectionLevel="2" scrollPosition="2022-09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H1000"/>
  <sheetViews>
    <sheetView tabSelected="1" workbookViewId="0">
      <selection activeCell="L12" sqref="L12"/>
    </sheetView>
  </sheetViews>
  <sheetFormatPr baseColWidth="10" defaultColWidth="14.5" defaultRowHeight="15" customHeight="1" x14ac:dyDescent="0.2"/>
  <cols>
    <col min="1" max="1" width="10.5" customWidth="1"/>
    <col min="2" max="2" width="12.83203125" customWidth="1"/>
    <col min="3" max="3" width="31.33203125" customWidth="1"/>
    <col min="4" max="4" width="13.1640625" customWidth="1"/>
    <col min="5" max="5" width="14.6640625" customWidth="1"/>
    <col min="6" max="6" width="20.5" customWidth="1"/>
    <col min="7" max="7" width="12.5" style="14" customWidth="1"/>
    <col min="8" max="8" width="24.5" customWidth="1"/>
    <col min="9" max="26" width="8.6640625" customWidth="1"/>
  </cols>
  <sheetData>
    <row r="1" spans="1:8" ht="14.25" customHeight="1" x14ac:dyDescent="0.2">
      <c r="A1" s="1" t="s">
        <v>411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2" t="s">
        <v>5</v>
      </c>
      <c r="H1" s="1" t="s">
        <v>6</v>
      </c>
    </row>
    <row r="2" spans="1:8" ht="14.25" customHeight="1" x14ac:dyDescent="0.2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15">
        <v>450</v>
      </c>
      <c r="H2" s="3">
        <v>44878</v>
      </c>
    </row>
    <row r="3" spans="1:8" ht="14.25" customHeight="1" x14ac:dyDescent="0.2">
      <c r="A3" s="2" t="s">
        <v>13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12</v>
      </c>
      <c r="G3" s="15">
        <v>450</v>
      </c>
      <c r="H3" s="3">
        <v>44909</v>
      </c>
    </row>
    <row r="4" spans="1:8" ht="14.25" customHeight="1" x14ac:dyDescent="0.2">
      <c r="A4" s="2" t="s">
        <v>18</v>
      </c>
      <c r="B4" s="2" t="s">
        <v>19</v>
      </c>
      <c r="C4" s="2" t="s">
        <v>20</v>
      </c>
      <c r="D4" s="2" t="s">
        <v>21</v>
      </c>
      <c r="E4" s="2" t="s">
        <v>11</v>
      </c>
      <c r="F4" s="2" t="s">
        <v>22</v>
      </c>
      <c r="G4" s="15">
        <v>700</v>
      </c>
      <c r="H4" s="3">
        <v>44915</v>
      </c>
    </row>
    <row r="5" spans="1:8" ht="14.25" customHeight="1" x14ac:dyDescent="0.2">
      <c r="A5" s="2" t="s">
        <v>23</v>
      </c>
      <c r="B5" s="2" t="s">
        <v>24</v>
      </c>
      <c r="C5" s="2" t="s">
        <v>25</v>
      </c>
      <c r="D5" s="2" t="s">
        <v>26</v>
      </c>
      <c r="E5" s="2" t="s">
        <v>17</v>
      </c>
      <c r="F5" s="2" t="s">
        <v>27</v>
      </c>
      <c r="G5" s="15">
        <v>300</v>
      </c>
      <c r="H5" s="3">
        <v>44921</v>
      </c>
    </row>
    <row r="6" spans="1:8" ht="14.25" customHeight="1" x14ac:dyDescent="0.2">
      <c r="A6" s="2" t="s">
        <v>28</v>
      </c>
      <c r="B6" s="2" t="s">
        <v>29</v>
      </c>
      <c r="C6" s="2" t="s">
        <v>30</v>
      </c>
      <c r="D6" s="2" t="s">
        <v>31</v>
      </c>
      <c r="E6" s="2" t="s">
        <v>11</v>
      </c>
      <c r="F6" s="2" t="s">
        <v>12</v>
      </c>
      <c r="G6" s="15">
        <v>450</v>
      </c>
      <c r="H6" s="3">
        <v>44926</v>
      </c>
    </row>
    <row r="7" spans="1:8" ht="14.25" customHeight="1" x14ac:dyDescent="0.2">
      <c r="A7" s="2" t="s">
        <v>32</v>
      </c>
      <c r="B7" s="2" t="s">
        <v>33</v>
      </c>
      <c r="C7" s="2" t="s">
        <v>34</v>
      </c>
      <c r="D7" s="2" t="s">
        <v>35</v>
      </c>
      <c r="E7" s="2" t="s">
        <v>17</v>
      </c>
      <c r="F7" s="2" t="s">
        <v>22</v>
      </c>
      <c r="G7" s="15">
        <v>700</v>
      </c>
      <c r="H7" s="3">
        <v>44937</v>
      </c>
    </row>
    <row r="8" spans="1:8" ht="14.25" customHeight="1" x14ac:dyDescent="0.2">
      <c r="A8" s="2" t="s">
        <v>36</v>
      </c>
      <c r="B8" s="2" t="s">
        <v>37</v>
      </c>
      <c r="C8" s="2" t="s">
        <v>38</v>
      </c>
      <c r="D8" s="2" t="s">
        <v>39</v>
      </c>
      <c r="E8" s="2" t="s">
        <v>11</v>
      </c>
      <c r="F8" s="2" t="s">
        <v>27</v>
      </c>
      <c r="G8" s="15">
        <v>300</v>
      </c>
      <c r="H8" s="3">
        <v>44941</v>
      </c>
    </row>
    <row r="9" spans="1:8" ht="14.25" customHeight="1" x14ac:dyDescent="0.2">
      <c r="A9" s="2" t="s">
        <v>40</v>
      </c>
      <c r="B9" s="2" t="s">
        <v>41</v>
      </c>
      <c r="C9" s="2" t="s">
        <v>42</v>
      </c>
      <c r="D9" s="2" t="s">
        <v>43</v>
      </c>
      <c r="E9" s="2" t="s">
        <v>17</v>
      </c>
      <c r="F9" s="2" t="s">
        <v>12</v>
      </c>
      <c r="G9" s="15">
        <v>450</v>
      </c>
      <c r="H9" s="3">
        <v>44943</v>
      </c>
    </row>
    <row r="10" spans="1:8" ht="14.25" customHeight="1" x14ac:dyDescent="0.2">
      <c r="A10" s="2" t="s">
        <v>44</v>
      </c>
      <c r="B10" s="2" t="s">
        <v>45</v>
      </c>
      <c r="C10" s="2" t="s">
        <v>46</v>
      </c>
      <c r="D10" s="2" t="s">
        <v>47</v>
      </c>
      <c r="E10" s="2" t="s">
        <v>11</v>
      </c>
      <c r="F10" s="2" t="s">
        <v>22</v>
      </c>
      <c r="G10" s="15">
        <v>700</v>
      </c>
      <c r="H10" s="3">
        <v>44962</v>
      </c>
    </row>
    <row r="11" spans="1:8" ht="14.25" customHeight="1" x14ac:dyDescent="0.2">
      <c r="A11" s="2" t="s">
        <v>48</v>
      </c>
      <c r="B11" s="2" t="s">
        <v>49</v>
      </c>
      <c r="C11" s="2" t="s">
        <v>50</v>
      </c>
      <c r="D11" s="2" t="s">
        <v>51</v>
      </c>
      <c r="E11" s="2" t="s">
        <v>17</v>
      </c>
      <c r="F11" s="2" t="s">
        <v>27</v>
      </c>
      <c r="G11" s="15">
        <v>300</v>
      </c>
      <c r="H11" s="3">
        <v>44966</v>
      </c>
    </row>
    <row r="12" spans="1:8" ht="14.25" customHeight="1" x14ac:dyDescent="0.2">
      <c r="A12" s="2" t="s">
        <v>52</v>
      </c>
      <c r="B12" s="2" t="s">
        <v>53</v>
      </c>
      <c r="C12" s="2" t="s">
        <v>54</v>
      </c>
      <c r="D12" s="2" t="s">
        <v>55</v>
      </c>
      <c r="E12" s="2" t="s">
        <v>11</v>
      </c>
      <c r="F12" s="2" t="s">
        <v>12</v>
      </c>
      <c r="G12" s="15">
        <v>450</v>
      </c>
      <c r="H12" s="3">
        <v>44971</v>
      </c>
    </row>
    <row r="13" spans="1:8" ht="14.25" customHeight="1" x14ac:dyDescent="0.2">
      <c r="A13" s="2" t="s">
        <v>56</v>
      </c>
      <c r="B13" s="2" t="s">
        <v>57</v>
      </c>
      <c r="C13" s="2" t="s">
        <v>58</v>
      </c>
      <c r="D13" s="2" t="s">
        <v>59</v>
      </c>
      <c r="E13" s="2" t="s">
        <v>17</v>
      </c>
      <c r="F13" s="2" t="s">
        <v>22</v>
      </c>
      <c r="G13" s="15">
        <v>700</v>
      </c>
      <c r="H13" s="3">
        <v>44975</v>
      </c>
    </row>
    <row r="14" spans="1:8" ht="14.25" customHeight="1" x14ac:dyDescent="0.2">
      <c r="A14" s="2" t="s">
        <v>60</v>
      </c>
      <c r="B14" s="2" t="s">
        <v>61</v>
      </c>
      <c r="C14" s="2" t="s">
        <v>62</v>
      </c>
      <c r="D14" s="2" t="s">
        <v>63</v>
      </c>
      <c r="E14" s="2" t="s">
        <v>11</v>
      </c>
      <c r="F14" s="2" t="s">
        <v>27</v>
      </c>
      <c r="G14" s="15">
        <v>300</v>
      </c>
      <c r="H14" s="3">
        <v>44976</v>
      </c>
    </row>
    <row r="15" spans="1:8" ht="14.25" customHeight="1" x14ac:dyDescent="0.2">
      <c r="A15" s="2" t="s">
        <v>64</v>
      </c>
      <c r="B15" s="2" t="s">
        <v>65</v>
      </c>
      <c r="C15" s="2" t="s">
        <v>66</v>
      </c>
      <c r="D15" s="2" t="s">
        <v>67</v>
      </c>
      <c r="E15" s="2" t="s">
        <v>17</v>
      </c>
      <c r="F15" s="2" t="s">
        <v>12</v>
      </c>
      <c r="G15" s="15">
        <v>450</v>
      </c>
      <c r="H15" s="3">
        <v>44978</v>
      </c>
    </row>
    <row r="16" spans="1:8" ht="14.25" customHeight="1" x14ac:dyDescent="0.2">
      <c r="A16" s="2" t="s">
        <v>68</v>
      </c>
      <c r="B16" s="2" t="s">
        <v>69</v>
      </c>
      <c r="C16" s="2" t="s">
        <v>70</v>
      </c>
      <c r="D16" s="2" t="s">
        <v>71</v>
      </c>
      <c r="E16" s="2" t="s">
        <v>11</v>
      </c>
      <c r="F16" s="2" t="s">
        <v>22</v>
      </c>
      <c r="G16" s="15">
        <v>700</v>
      </c>
      <c r="H16" s="3">
        <v>44979</v>
      </c>
    </row>
    <row r="17" spans="1:8" ht="14.25" customHeight="1" x14ac:dyDescent="0.2">
      <c r="A17" s="2" t="s">
        <v>72</v>
      </c>
      <c r="B17" s="2" t="s">
        <v>73</v>
      </c>
      <c r="C17" s="2" t="s">
        <v>74</v>
      </c>
      <c r="D17" s="2" t="s">
        <v>75</v>
      </c>
      <c r="E17" s="2" t="s">
        <v>17</v>
      </c>
      <c r="F17" s="2" t="s">
        <v>27</v>
      </c>
      <c r="G17" s="15">
        <v>300</v>
      </c>
      <c r="H17" s="3">
        <v>44982</v>
      </c>
    </row>
    <row r="18" spans="1:8" ht="14.25" customHeight="1" x14ac:dyDescent="0.2">
      <c r="A18" s="2" t="s">
        <v>76</v>
      </c>
      <c r="B18" s="2" t="s">
        <v>77</v>
      </c>
      <c r="C18" s="2" t="s">
        <v>78</v>
      </c>
      <c r="D18" s="2" t="s">
        <v>79</v>
      </c>
      <c r="E18" s="2" t="s">
        <v>11</v>
      </c>
      <c r="F18" s="2" t="s">
        <v>12</v>
      </c>
      <c r="G18" s="15">
        <v>450</v>
      </c>
      <c r="H18" s="3">
        <v>44999</v>
      </c>
    </row>
    <row r="19" spans="1:8" ht="14.25" customHeight="1" x14ac:dyDescent="0.2">
      <c r="A19" s="2" t="s">
        <v>80</v>
      </c>
      <c r="B19" s="2" t="s">
        <v>81</v>
      </c>
      <c r="C19" s="2" t="s">
        <v>82</v>
      </c>
      <c r="D19" s="2" t="s">
        <v>83</v>
      </c>
      <c r="E19" s="2" t="s">
        <v>17</v>
      </c>
      <c r="F19" s="2" t="s">
        <v>22</v>
      </c>
      <c r="G19" s="15">
        <v>700</v>
      </c>
      <c r="H19" s="3">
        <v>45019</v>
      </c>
    </row>
    <row r="20" spans="1:8" ht="14.25" customHeight="1" x14ac:dyDescent="0.2">
      <c r="A20" s="2" t="s">
        <v>84</v>
      </c>
      <c r="B20" s="2" t="s">
        <v>85</v>
      </c>
      <c r="C20" s="2" t="s">
        <v>86</v>
      </c>
      <c r="D20" s="2" t="s">
        <v>87</v>
      </c>
      <c r="E20" s="2" t="s">
        <v>11</v>
      </c>
      <c r="F20" s="2" t="s">
        <v>27</v>
      </c>
      <c r="G20" s="15">
        <v>300</v>
      </c>
      <c r="H20" s="3">
        <v>45026</v>
      </c>
    </row>
    <row r="21" spans="1:8" ht="14.25" customHeight="1" x14ac:dyDescent="0.2">
      <c r="A21" s="2" t="s">
        <v>88</v>
      </c>
      <c r="B21" s="2" t="s">
        <v>89</v>
      </c>
      <c r="C21" s="2" t="s">
        <v>90</v>
      </c>
      <c r="D21" s="2" t="s">
        <v>91</v>
      </c>
      <c r="E21" s="2" t="s">
        <v>17</v>
      </c>
      <c r="F21" s="2" t="s">
        <v>12</v>
      </c>
      <c r="G21" s="15">
        <v>450</v>
      </c>
      <c r="H21" s="3">
        <v>45028</v>
      </c>
    </row>
    <row r="22" spans="1:8" ht="14.25" customHeight="1" x14ac:dyDescent="0.2">
      <c r="A22" s="2" t="s">
        <v>92</v>
      </c>
      <c r="B22" s="2" t="s">
        <v>93</v>
      </c>
      <c r="C22" s="2" t="s">
        <v>94</v>
      </c>
      <c r="D22" s="2" t="s">
        <v>95</v>
      </c>
      <c r="E22" s="2" t="s">
        <v>11</v>
      </c>
      <c r="F22" s="2" t="s">
        <v>22</v>
      </c>
      <c r="G22" s="15">
        <v>700</v>
      </c>
      <c r="H22" s="3">
        <v>45036</v>
      </c>
    </row>
    <row r="23" spans="1:8" ht="14.25" customHeight="1" x14ac:dyDescent="0.2">
      <c r="A23" s="2" t="s">
        <v>96</v>
      </c>
      <c r="B23" s="2" t="s">
        <v>97</v>
      </c>
      <c r="C23" s="2" t="s">
        <v>98</v>
      </c>
      <c r="D23" s="2" t="s">
        <v>99</v>
      </c>
      <c r="E23" s="2" t="s">
        <v>17</v>
      </c>
      <c r="F23" s="2" t="s">
        <v>27</v>
      </c>
      <c r="G23" s="15">
        <v>300</v>
      </c>
      <c r="H23" s="3">
        <v>45040</v>
      </c>
    </row>
    <row r="24" spans="1:8" ht="14.25" customHeight="1" x14ac:dyDescent="0.2">
      <c r="A24" s="2" t="s">
        <v>100</v>
      </c>
      <c r="B24" s="2" t="s">
        <v>101</v>
      </c>
      <c r="C24" s="2" t="s">
        <v>102</v>
      </c>
      <c r="D24" s="2" t="s">
        <v>103</v>
      </c>
      <c r="E24" s="2" t="s">
        <v>11</v>
      </c>
      <c r="F24" s="2" t="s">
        <v>12</v>
      </c>
      <c r="G24" s="15">
        <v>450</v>
      </c>
      <c r="H24" s="3">
        <v>45041</v>
      </c>
    </row>
    <row r="25" spans="1:8" ht="14.25" customHeight="1" x14ac:dyDescent="0.2">
      <c r="A25" s="2" t="s">
        <v>104</v>
      </c>
      <c r="B25" s="2" t="s">
        <v>105</v>
      </c>
      <c r="C25" s="2" t="s">
        <v>106</v>
      </c>
      <c r="D25" s="2" t="s">
        <v>107</v>
      </c>
      <c r="E25" s="2" t="s">
        <v>17</v>
      </c>
      <c r="F25" s="2" t="s">
        <v>22</v>
      </c>
      <c r="G25" s="15">
        <v>700</v>
      </c>
      <c r="H25" s="3">
        <v>45048</v>
      </c>
    </row>
    <row r="26" spans="1:8" ht="14.25" customHeight="1" x14ac:dyDescent="0.2">
      <c r="A26" s="2" t="s">
        <v>108</v>
      </c>
      <c r="B26" s="2" t="s">
        <v>109</v>
      </c>
      <c r="C26" s="2" t="s">
        <v>110</v>
      </c>
      <c r="D26" s="2" t="s">
        <v>111</v>
      </c>
      <c r="E26" s="2" t="s">
        <v>11</v>
      </c>
      <c r="F26" s="2" t="s">
        <v>27</v>
      </c>
      <c r="G26" s="15">
        <v>300</v>
      </c>
      <c r="H26" s="3">
        <v>45071</v>
      </c>
    </row>
    <row r="27" spans="1:8" ht="14.25" customHeight="1" x14ac:dyDescent="0.2">
      <c r="A27" s="2" t="s">
        <v>112</v>
      </c>
      <c r="B27" s="2" t="s">
        <v>113</v>
      </c>
      <c r="C27" s="2" t="s">
        <v>114</v>
      </c>
      <c r="D27" s="2" t="s">
        <v>115</v>
      </c>
      <c r="E27" s="2" t="s">
        <v>17</v>
      </c>
      <c r="F27" s="2" t="s">
        <v>12</v>
      </c>
      <c r="G27" s="15">
        <v>450</v>
      </c>
      <c r="H27" s="3">
        <v>45072</v>
      </c>
    </row>
    <row r="28" spans="1:8" ht="14.25" customHeight="1" x14ac:dyDescent="0.2">
      <c r="A28" s="2" t="s">
        <v>116</v>
      </c>
      <c r="B28" s="2" t="s">
        <v>117</v>
      </c>
      <c r="C28" s="2" t="s">
        <v>118</v>
      </c>
      <c r="D28" s="2" t="s">
        <v>119</v>
      </c>
      <c r="E28" s="2" t="s">
        <v>11</v>
      </c>
      <c r="F28" s="2" t="s">
        <v>22</v>
      </c>
      <c r="G28" s="15">
        <v>700</v>
      </c>
      <c r="H28" s="3">
        <v>45094</v>
      </c>
    </row>
    <row r="29" spans="1:8" ht="14.25" customHeight="1" x14ac:dyDescent="0.2">
      <c r="A29" s="2" t="s">
        <v>120</v>
      </c>
      <c r="B29" s="2" t="s">
        <v>121</v>
      </c>
      <c r="C29" s="2" t="s">
        <v>122</v>
      </c>
      <c r="D29" s="2" t="s">
        <v>123</v>
      </c>
      <c r="E29" s="2" t="s">
        <v>17</v>
      </c>
      <c r="F29" s="2" t="s">
        <v>27</v>
      </c>
      <c r="G29" s="15">
        <v>300</v>
      </c>
      <c r="H29" s="3">
        <v>45101</v>
      </c>
    </row>
    <row r="30" spans="1:8" ht="14.25" customHeight="1" x14ac:dyDescent="0.2">
      <c r="A30" s="2" t="s">
        <v>124</v>
      </c>
      <c r="B30" s="2" t="s">
        <v>125</v>
      </c>
      <c r="C30" s="2" t="s">
        <v>126</v>
      </c>
      <c r="D30" s="2" t="s">
        <v>127</v>
      </c>
      <c r="E30" s="2" t="s">
        <v>11</v>
      </c>
      <c r="F30" s="2" t="s">
        <v>12</v>
      </c>
      <c r="G30" s="15">
        <v>450</v>
      </c>
      <c r="H30" s="3">
        <v>45113</v>
      </c>
    </row>
    <row r="31" spans="1:8" ht="14.25" customHeight="1" x14ac:dyDescent="0.2">
      <c r="A31" s="2" t="s">
        <v>128</v>
      </c>
      <c r="B31" s="2" t="s">
        <v>129</v>
      </c>
      <c r="C31" s="2" t="s">
        <v>130</v>
      </c>
      <c r="D31" s="2" t="s">
        <v>131</v>
      </c>
      <c r="E31" s="2" t="s">
        <v>17</v>
      </c>
      <c r="F31" s="2" t="s">
        <v>22</v>
      </c>
      <c r="G31" s="15">
        <v>700</v>
      </c>
      <c r="H31" s="3">
        <v>45114</v>
      </c>
    </row>
    <row r="32" spans="1:8" ht="14.25" customHeight="1" x14ac:dyDescent="0.2">
      <c r="A32" s="2" t="s">
        <v>132</v>
      </c>
      <c r="B32" s="2" t="s">
        <v>133</v>
      </c>
      <c r="C32" s="2" t="s">
        <v>134</v>
      </c>
      <c r="D32" s="2" t="s">
        <v>135</v>
      </c>
      <c r="E32" s="2" t="s">
        <v>11</v>
      </c>
      <c r="F32" s="2" t="s">
        <v>27</v>
      </c>
      <c r="G32" s="15">
        <v>300</v>
      </c>
      <c r="H32" s="3">
        <v>45131</v>
      </c>
    </row>
    <row r="33" spans="1:8" ht="14.25" customHeight="1" x14ac:dyDescent="0.2">
      <c r="A33" s="2" t="s">
        <v>136</v>
      </c>
      <c r="B33" s="2" t="s">
        <v>137</v>
      </c>
      <c r="C33" s="2" t="s">
        <v>138</v>
      </c>
      <c r="D33" s="2" t="s">
        <v>139</v>
      </c>
      <c r="E33" s="2" t="s">
        <v>17</v>
      </c>
      <c r="F33" s="2" t="s">
        <v>12</v>
      </c>
      <c r="G33" s="15">
        <v>450</v>
      </c>
      <c r="H33" s="3">
        <v>45133</v>
      </c>
    </row>
    <row r="34" spans="1:8" ht="14.25" customHeight="1" x14ac:dyDescent="0.2">
      <c r="A34" s="2" t="s">
        <v>140</v>
      </c>
      <c r="B34" s="2" t="s">
        <v>141</v>
      </c>
      <c r="C34" s="2" t="s">
        <v>142</v>
      </c>
      <c r="D34" s="2" t="s">
        <v>143</v>
      </c>
      <c r="E34" s="2" t="s">
        <v>11</v>
      </c>
      <c r="F34" s="2" t="s">
        <v>22</v>
      </c>
      <c r="G34" s="15">
        <v>700</v>
      </c>
      <c r="H34" s="3">
        <v>45138</v>
      </c>
    </row>
    <row r="35" spans="1:8" ht="14.25" customHeight="1" x14ac:dyDescent="0.2">
      <c r="A35" s="2" t="s">
        <v>144</v>
      </c>
      <c r="B35" s="2" t="s">
        <v>145</v>
      </c>
      <c r="C35" s="2" t="s">
        <v>146</v>
      </c>
      <c r="D35" s="2" t="s">
        <v>147</v>
      </c>
      <c r="E35" s="2" t="s">
        <v>17</v>
      </c>
      <c r="F35" s="2" t="s">
        <v>27</v>
      </c>
      <c r="G35" s="15">
        <v>300</v>
      </c>
      <c r="H35" s="3">
        <v>45142</v>
      </c>
    </row>
    <row r="36" spans="1:8" ht="14.25" customHeight="1" x14ac:dyDescent="0.2">
      <c r="A36" s="2" t="s">
        <v>148</v>
      </c>
      <c r="B36" s="2" t="s">
        <v>149</v>
      </c>
      <c r="C36" s="2" t="s">
        <v>150</v>
      </c>
      <c r="D36" s="2" t="s">
        <v>151</v>
      </c>
      <c r="E36" s="2" t="s">
        <v>11</v>
      </c>
      <c r="F36" s="2" t="s">
        <v>12</v>
      </c>
      <c r="G36" s="15">
        <v>450</v>
      </c>
      <c r="H36" s="3">
        <v>45155</v>
      </c>
    </row>
    <row r="37" spans="1:8" ht="14.25" customHeight="1" x14ac:dyDescent="0.2">
      <c r="A37" s="2" t="s">
        <v>152</v>
      </c>
      <c r="B37" s="2" t="s">
        <v>153</v>
      </c>
      <c r="C37" s="2" t="s">
        <v>154</v>
      </c>
      <c r="D37" s="2" t="s">
        <v>155</v>
      </c>
      <c r="E37" s="2" t="s">
        <v>17</v>
      </c>
      <c r="F37" s="2" t="s">
        <v>22</v>
      </c>
      <c r="G37" s="15">
        <v>700</v>
      </c>
      <c r="H37" s="3">
        <v>45155</v>
      </c>
    </row>
    <row r="38" spans="1:8" ht="14.25" customHeight="1" x14ac:dyDescent="0.2">
      <c r="A38" s="2" t="s">
        <v>156</v>
      </c>
      <c r="B38" s="2" t="s">
        <v>157</v>
      </c>
      <c r="C38" s="2" t="s">
        <v>158</v>
      </c>
      <c r="D38" s="2" t="s">
        <v>159</v>
      </c>
      <c r="E38" s="2" t="s">
        <v>11</v>
      </c>
      <c r="F38" s="2" t="s">
        <v>27</v>
      </c>
      <c r="G38" s="15">
        <v>300</v>
      </c>
      <c r="H38" s="3">
        <v>45178</v>
      </c>
    </row>
    <row r="39" spans="1:8" ht="14.25" customHeight="1" x14ac:dyDescent="0.2">
      <c r="A39" s="2" t="s">
        <v>160</v>
      </c>
      <c r="B39" s="2" t="s">
        <v>161</v>
      </c>
      <c r="C39" s="2" t="s">
        <v>162</v>
      </c>
      <c r="D39" s="2" t="s">
        <v>163</v>
      </c>
      <c r="E39" s="2" t="s">
        <v>17</v>
      </c>
      <c r="F39" s="2" t="s">
        <v>12</v>
      </c>
      <c r="G39" s="15">
        <v>450</v>
      </c>
      <c r="H39" s="3">
        <v>45180</v>
      </c>
    </row>
    <row r="40" spans="1:8" ht="14.25" customHeight="1" x14ac:dyDescent="0.2">
      <c r="A40" s="2" t="s">
        <v>164</v>
      </c>
      <c r="B40" s="2" t="s">
        <v>165</v>
      </c>
      <c r="C40" s="2" t="s">
        <v>166</v>
      </c>
      <c r="D40" s="2" t="s">
        <v>167</v>
      </c>
      <c r="E40" s="2" t="s">
        <v>11</v>
      </c>
      <c r="F40" s="2" t="s">
        <v>22</v>
      </c>
      <c r="G40" s="15">
        <v>700</v>
      </c>
      <c r="H40" s="3">
        <v>45199</v>
      </c>
    </row>
    <row r="41" spans="1:8" ht="14.25" customHeight="1" x14ac:dyDescent="0.2">
      <c r="A41" s="2" t="s">
        <v>168</v>
      </c>
      <c r="B41" s="2" t="s">
        <v>169</v>
      </c>
      <c r="C41" s="2" t="s">
        <v>170</v>
      </c>
      <c r="D41" s="2" t="s">
        <v>171</v>
      </c>
      <c r="E41" s="2" t="s">
        <v>17</v>
      </c>
      <c r="F41" s="2" t="s">
        <v>27</v>
      </c>
      <c r="G41" s="15">
        <v>300</v>
      </c>
      <c r="H41" s="3">
        <v>45213</v>
      </c>
    </row>
    <row r="42" spans="1:8" ht="14.25" customHeight="1" x14ac:dyDescent="0.2">
      <c r="A42" s="2" t="s">
        <v>172</v>
      </c>
      <c r="B42" s="2" t="s">
        <v>173</v>
      </c>
      <c r="C42" s="2" t="s">
        <v>174</v>
      </c>
      <c r="D42" s="2" t="s">
        <v>175</v>
      </c>
      <c r="E42" s="2" t="s">
        <v>11</v>
      </c>
      <c r="F42" s="2" t="s">
        <v>12</v>
      </c>
      <c r="G42" s="15">
        <v>450</v>
      </c>
      <c r="H42" s="3">
        <v>45215</v>
      </c>
    </row>
    <row r="43" spans="1:8" ht="14.25" customHeight="1" x14ac:dyDescent="0.2">
      <c r="A43" s="2" t="s">
        <v>176</v>
      </c>
      <c r="B43" s="2" t="s">
        <v>177</v>
      </c>
      <c r="C43" s="2" t="s">
        <v>178</v>
      </c>
      <c r="D43" s="2" t="s">
        <v>179</v>
      </c>
      <c r="E43" s="2" t="s">
        <v>17</v>
      </c>
      <c r="F43" s="2" t="s">
        <v>22</v>
      </c>
      <c r="G43" s="15">
        <v>700</v>
      </c>
      <c r="H43" s="3">
        <v>45224</v>
      </c>
    </row>
    <row r="44" spans="1:8" ht="14.25" customHeight="1" x14ac:dyDescent="0.2">
      <c r="A44" s="2" t="s">
        <v>180</v>
      </c>
      <c r="B44" s="2" t="s">
        <v>181</v>
      </c>
      <c r="C44" s="2" t="s">
        <v>182</v>
      </c>
      <c r="D44" s="2" t="s">
        <v>183</v>
      </c>
      <c r="E44" s="2" t="s">
        <v>11</v>
      </c>
      <c r="F44" s="2" t="s">
        <v>27</v>
      </c>
      <c r="G44" s="15">
        <v>300</v>
      </c>
      <c r="H44" s="3">
        <v>45230</v>
      </c>
    </row>
    <row r="45" spans="1:8" ht="14.25" customHeight="1" x14ac:dyDescent="0.2">
      <c r="A45" s="2" t="s">
        <v>184</v>
      </c>
      <c r="B45" s="2" t="s">
        <v>185</v>
      </c>
      <c r="C45" s="2" t="s">
        <v>186</v>
      </c>
      <c r="D45" s="2" t="s">
        <v>187</v>
      </c>
      <c r="E45" s="2" t="s">
        <v>17</v>
      </c>
      <c r="F45" s="2" t="s">
        <v>12</v>
      </c>
      <c r="G45" s="15">
        <v>450</v>
      </c>
      <c r="H45" s="3">
        <v>45233</v>
      </c>
    </row>
    <row r="46" spans="1:8" ht="14.25" customHeight="1" x14ac:dyDescent="0.2">
      <c r="A46" s="2" t="s">
        <v>188</v>
      </c>
      <c r="B46" s="2" t="s">
        <v>189</v>
      </c>
      <c r="C46" s="2" t="s">
        <v>190</v>
      </c>
      <c r="D46" s="2" t="s">
        <v>191</v>
      </c>
      <c r="E46" s="2" t="s">
        <v>11</v>
      </c>
      <c r="F46" s="2" t="s">
        <v>22</v>
      </c>
      <c r="G46" s="15">
        <v>700</v>
      </c>
      <c r="H46" s="3">
        <v>45260</v>
      </c>
    </row>
    <row r="47" spans="1:8" ht="14.25" customHeight="1" x14ac:dyDescent="0.2">
      <c r="A47" s="2" t="s">
        <v>192</v>
      </c>
      <c r="B47" s="2" t="s">
        <v>193</v>
      </c>
      <c r="C47" s="2" t="s">
        <v>194</v>
      </c>
      <c r="D47" s="2" t="s">
        <v>195</v>
      </c>
      <c r="E47" s="2" t="s">
        <v>17</v>
      </c>
      <c r="F47" s="2" t="s">
        <v>27</v>
      </c>
      <c r="G47" s="15">
        <v>300</v>
      </c>
      <c r="H47" s="3">
        <v>45263</v>
      </c>
    </row>
    <row r="48" spans="1:8" ht="14.25" customHeight="1" x14ac:dyDescent="0.2">
      <c r="A48" s="2" t="s">
        <v>196</v>
      </c>
      <c r="B48" s="2" t="s">
        <v>197</v>
      </c>
      <c r="C48" s="2" t="s">
        <v>198</v>
      </c>
      <c r="D48" s="2" t="s">
        <v>199</v>
      </c>
      <c r="E48" s="2" t="s">
        <v>11</v>
      </c>
      <c r="F48" s="2" t="s">
        <v>12</v>
      </c>
      <c r="G48" s="15">
        <v>450</v>
      </c>
      <c r="H48" s="3">
        <v>45269</v>
      </c>
    </row>
    <row r="49" spans="1:8" ht="14.25" customHeight="1" x14ac:dyDescent="0.2">
      <c r="A49" s="2" t="s">
        <v>200</v>
      </c>
      <c r="B49" s="2" t="s">
        <v>201</v>
      </c>
      <c r="C49" s="2" t="s">
        <v>202</v>
      </c>
      <c r="D49" s="2" t="s">
        <v>203</v>
      </c>
      <c r="E49" s="2" t="s">
        <v>17</v>
      </c>
      <c r="F49" s="2" t="s">
        <v>22</v>
      </c>
      <c r="G49" s="15">
        <v>700</v>
      </c>
      <c r="H49" s="3">
        <v>45299</v>
      </c>
    </row>
    <row r="50" spans="1:8" ht="14.25" customHeight="1" x14ac:dyDescent="0.2">
      <c r="A50" s="2" t="s">
        <v>204</v>
      </c>
      <c r="B50" s="2" t="s">
        <v>205</v>
      </c>
      <c r="C50" s="2" t="s">
        <v>206</v>
      </c>
      <c r="D50" s="2" t="s">
        <v>207</v>
      </c>
      <c r="E50" s="2" t="s">
        <v>11</v>
      </c>
      <c r="F50" s="2" t="s">
        <v>27</v>
      </c>
      <c r="G50" s="15">
        <v>300</v>
      </c>
      <c r="H50" s="3">
        <v>45307</v>
      </c>
    </row>
    <row r="51" spans="1:8" ht="14.25" customHeight="1" x14ac:dyDescent="0.2">
      <c r="A51" s="2" t="s">
        <v>208</v>
      </c>
      <c r="B51" s="2" t="s">
        <v>209</v>
      </c>
      <c r="C51" s="2" t="s">
        <v>210</v>
      </c>
      <c r="D51" s="2" t="s">
        <v>211</v>
      </c>
      <c r="E51" s="2" t="s">
        <v>17</v>
      </c>
      <c r="F51" s="2" t="s">
        <v>12</v>
      </c>
      <c r="G51" s="15">
        <v>450</v>
      </c>
      <c r="H51" s="3">
        <v>45313</v>
      </c>
    </row>
    <row r="52" spans="1:8" ht="14.25" customHeight="1" x14ac:dyDescent="0.2">
      <c r="A52" s="2" t="s">
        <v>212</v>
      </c>
      <c r="B52" s="2" t="s">
        <v>213</v>
      </c>
      <c r="C52" s="2" t="s">
        <v>214</v>
      </c>
      <c r="D52" s="2" t="s">
        <v>215</v>
      </c>
      <c r="E52" s="2" t="s">
        <v>11</v>
      </c>
      <c r="F52" s="2" t="s">
        <v>22</v>
      </c>
      <c r="G52" s="15">
        <v>700</v>
      </c>
      <c r="H52" s="3">
        <v>45313</v>
      </c>
    </row>
    <row r="53" spans="1:8" ht="14.25" customHeight="1" x14ac:dyDescent="0.2">
      <c r="A53" s="2" t="s">
        <v>216</v>
      </c>
      <c r="B53" s="2" t="s">
        <v>217</v>
      </c>
      <c r="C53" s="2" t="s">
        <v>218</v>
      </c>
      <c r="D53" s="2" t="s">
        <v>219</v>
      </c>
      <c r="E53" s="2" t="s">
        <v>17</v>
      </c>
      <c r="F53" s="2" t="s">
        <v>27</v>
      </c>
      <c r="G53" s="15">
        <v>300</v>
      </c>
      <c r="H53" s="3">
        <v>45315</v>
      </c>
    </row>
    <row r="54" spans="1:8" ht="14.25" customHeight="1" x14ac:dyDescent="0.2">
      <c r="A54" s="2" t="s">
        <v>220</v>
      </c>
      <c r="B54" s="2" t="s">
        <v>221</v>
      </c>
      <c r="C54" s="2" t="s">
        <v>222</v>
      </c>
      <c r="D54" s="2" t="s">
        <v>223</v>
      </c>
      <c r="E54" s="2" t="s">
        <v>11</v>
      </c>
      <c r="F54" s="2" t="s">
        <v>12</v>
      </c>
      <c r="G54" s="15">
        <v>450</v>
      </c>
      <c r="H54" s="3">
        <v>45322</v>
      </c>
    </row>
    <row r="55" spans="1:8" ht="14.25" customHeight="1" x14ac:dyDescent="0.2">
      <c r="A55" s="2" t="s">
        <v>224</v>
      </c>
      <c r="B55" s="2" t="s">
        <v>225</v>
      </c>
      <c r="C55" s="2" t="s">
        <v>226</v>
      </c>
      <c r="D55" s="2" t="s">
        <v>227</v>
      </c>
      <c r="E55" s="2" t="s">
        <v>17</v>
      </c>
      <c r="F55" s="2" t="s">
        <v>22</v>
      </c>
      <c r="G55" s="15">
        <v>700</v>
      </c>
      <c r="H55" s="3">
        <v>45322</v>
      </c>
    </row>
    <row r="56" spans="1:8" ht="14.25" customHeight="1" x14ac:dyDescent="0.2">
      <c r="A56" s="2" t="s">
        <v>228</v>
      </c>
      <c r="B56" s="2" t="s">
        <v>229</v>
      </c>
      <c r="C56" s="2" t="s">
        <v>230</v>
      </c>
      <c r="D56" s="2" t="s">
        <v>231</v>
      </c>
      <c r="E56" s="2" t="s">
        <v>11</v>
      </c>
      <c r="F56" s="2" t="s">
        <v>27</v>
      </c>
      <c r="G56" s="15">
        <v>300</v>
      </c>
      <c r="H56" s="3">
        <v>45330</v>
      </c>
    </row>
    <row r="57" spans="1:8" ht="14.25" customHeight="1" x14ac:dyDescent="0.2">
      <c r="A57" s="2" t="s">
        <v>232</v>
      </c>
      <c r="B57" s="2" t="s">
        <v>233</v>
      </c>
      <c r="C57" s="2" t="s">
        <v>234</v>
      </c>
      <c r="D57" s="2" t="s">
        <v>235</v>
      </c>
      <c r="E57" s="2" t="s">
        <v>17</v>
      </c>
      <c r="F57" s="2" t="s">
        <v>12</v>
      </c>
      <c r="G57" s="15">
        <v>450</v>
      </c>
      <c r="H57" s="3">
        <v>45331</v>
      </c>
    </row>
    <row r="58" spans="1:8" ht="14.25" customHeight="1" x14ac:dyDescent="0.2">
      <c r="A58" s="2" t="s">
        <v>236</v>
      </c>
      <c r="B58" s="2" t="s">
        <v>237</v>
      </c>
      <c r="C58" s="2" t="s">
        <v>238</v>
      </c>
      <c r="D58" s="2" t="s">
        <v>239</v>
      </c>
      <c r="E58" s="2" t="s">
        <v>11</v>
      </c>
      <c r="F58" s="2" t="s">
        <v>22</v>
      </c>
      <c r="G58" s="15">
        <v>700</v>
      </c>
      <c r="H58" s="3">
        <v>45333</v>
      </c>
    </row>
    <row r="59" spans="1:8" ht="14.25" customHeight="1" x14ac:dyDescent="0.2">
      <c r="A59" s="2" t="s">
        <v>240</v>
      </c>
      <c r="B59" s="2" t="s">
        <v>241</v>
      </c>
      <c r="C59" s="2" t="s">
        <v>242</v>
      </c>
      <c r="D59" s="2" t="s">
        <v>243</v>
      </c>
      <c r="E59" s="2" t="s">
        <v>17</v>
      </c>
      <c r="F59" s="2" t="s">
        <v>27</v>
      </c>
      <c r="G59" s="15">
        <v>300</v>
      </c>
      <c r="H59" s="3">
        <v>45338</v>
      </c>
    </row>
    <row r="60" spans="1:8" ht="14.25" customHeight="1" x14ac:dyDescent="0.2">
      <c r="A60" s="2" t="s">
        <v>244</v>
      </c>
      <c r="B60" s="2" t="s">
        <v>245</v>
      </c>
      <c r="C60" s="2" t="s">
        <v>246</v>
      </c>
      <c r="D60" s="2" t="s">
        <v>247</v>
      </c>
      <c r="E60" s="2" t="s">
        <v>11</v>
      </c>
      <c r="F60" s="2" t="s">
        <v>12</v>
      </c>
      <c r="G60" s="15">
        <v>450</v>
      </c>
      <c r="H60" s="3">
        <v>45343</v>
      </c>
    </row>
    <row r="61" spans="1:8" ht="14.25" customHeight="1" x14ac:dyDescent="0.2">
      <c r="A61" s="2" t="s">
        <v>248</v>
      </c>
      <c r="B61" s="2" t="s">
        <v>249</v>
      </c>
      <c r="C61" s="2" t="s">
        <v>250</v>
      </c>
      <c r="D61" s="2" t="s">
        <v>251</v>
      </c>
      <c r="E61" s="2" t="s">
        <v>17</v>
      </c>
      <c r="F61" s="2" t="s">
        <v>22</v>
      </c>
      <c r="G61" s="15">
        <v>700</v>
      </c>
      <c r="H61" s="3">
        <v>45345</v>
      </c>
    </row>
    <row r="62" spans="1:8" ht="14.25" customHeight="1" x14ac:dyDescent="0.2">
      <c r="A62" s="2" t="s">
        <v>252</v>
      </c>
      <c r="B62" s="2" t="s">
        <v>253</v>
      </c>
      <c r="C62" s="2" t="s">
        <v>254</v>
      </c>
      <c r="D62" s="2" t="s">
        <v>255</v>
      </c>
      <c r="E62" s="2" t="s">
        <v>11</v>
      </c>
      <c r="F62" s="2" t="s">
        <v>27</v>
      </c>
      <c r="G62" s="15">
        <v>300</v>
      </c>
      <c r="H62" s="3">
        <v>45349</v>
      </c>
    </row>
    <row r="63" spans="1:8" ht="14.25" customHeight="1" x14ac:dyDescent="0.2">
      <c r="A63" s="2" t="s">
        <v>256</v>
      </c>
      <c r="B63" s="2" t="s">
        <v>257</v>
      </c>
      <c r="C63" s="2" t="s">
        <v>258</v>
      </c>
      <c r="D63" s="2" t="s">
        <v>259</v>
      </c>
      <c r="E63" s="2" t="s">
        <v>17</v>
      </c>
      <c r="F63" s="2" t="s">
        <v>12</v>
      </c>
      <c r="G63" s="15">
        <v>450</v>
      </c>
      <c r="H63" s="3">
        <v>45350</v>
      </c>
    </row>
    <row r="64" spans="1:8" ht="14.25" customHeight="1" x14ac:dyDescent="0.2">
      <c r="A64" s="2" t="s">
        <v>260</v>
      </c>
      <c r="B64" s="2" t="s">
        <v>261</v>
      </c>
      <c r="C64" s="2" t="s">
        <v>262</v>
      </c>
      <c r="D64" s="2" t="s">
        <v>263</v>
      </c>
      <c r="E64" s="2" t="s">
        <v>11</v>
      </c>
      <c r="F64" s="2" t="s">
        <v>22</v>
      </c>
      <c r="G64" s="15">
        <v>700</v>
      </c>
      <c r="H64" s="3">
        <v>45350</v>
      </c>
    </row>
    <row r="65" spans="1:8" ht="14.25" customHeight="1" x14ac:dyDescent="0.2">
      <c r="A65" s="2" t="s">
        <v>264</v>
      </c>
      <c r="B65" s="2" t="s">
        <v>265</v>
      </c>
      <c r="C65" s="2" t="s">
        <v>266</v>
      </c>
      <c r="D65" s="2" t="s">
        <v>267</v>
      </c>
      <c r="E65" s="2" t="s">
        <v>17</v>
      </c>
      <c r="F65" s="2" t="s">
        <v>27</v>
      </c>
      <c r="G65" s="15">
        <v>300</v>
      </c>
      <c r="H65" s="3">
        <v>45353</v>
      </c>
    </row>
    <row r="66" spans="1:8" ht="14.25" customHeight="1" x14ac:dyDescent="0.2">
      <c r="A66" s="2" t="s">
        <v>268</v>
      </c>
      <c r="B66" s="2" t="s">
        <v>269</v>
      </c>
      <c r="C66" s="2" t="s">
        <v>270</v>
      </c>
      <c r="D66" s="2" t="s">
        <v>271</v>
      </c>
      <c r="E66" s="2" t="s">
        <v>11</v>
      </c>
      <c r="F66" s="2" t="s">
        <v>12</v>
      </c>
      <c r="G66" s="15">
        <v>450</v>
      </c>
      <c r="H66" s="3">
        <v>45353</v>
      </c>
    </row>
    <row r="67" spans="1:8" ht="14.25" customHeight="1" x14ac:dyDescent="0.2">
      <c r="A67" s="2" t="s">
        <v>272</v>
      </c>
      <c r="B67" s="2" t="s">
        <v>273</v>
      </c>
      <c r="C67" s="2" t="s">
        <v>274</v>
      </c>
      <c r="D67" s="2" t="s">
        <v>275</v>
      </c>
      <c r="E67" s="2" t="s">
        <v>17</v>
      </c>
      <c r="F67" s="2" t="s">
        <v>22</v>
      </c>
      <c r="G67" s="15">
        <v>700</v>
      </c>
      <c r="H67" s="3">
        <v>45368</v>
      </c>
    </row>
    <row r="68" spans="1:8" ht="14.25" customHeight="1" x14ac:dyDescent="0.2">
      <c r="A68" s="2" t="s">
        <v>276</v>
      </c>
      <c r="B68" s="2" t="s">
        <v>277</v>
      </c>
      <c r="C68" s="2" t="s">
        <v>278</v>
      </c>
      <c r="D68" s="2" t="s">
        <v>279</v>
      </c>
      <c r="E68" s="2" t="s">
        <v>11</v>
      </c>
      <c r="F68" s="2" t="s">
        <v>27</v>
      </c>
      <c r="G68" s="15">
        <v>300</v>
      </c>
      <c r="H68" s="3">
        <v>45373</v>
      </c>
    </row>
    <row r="69" spans="1:8" ht="14.25" customHeight="1" x14ac:dyDescent="0.2">
      <c r="A69" s="2" t="s">
        <v>280</v>
      </c>
      <c r="B69" s="2" t="s">
        <v>281</v>
      </c>
      <c r="C69" s="2" t="s">
        <v>282</v>
      </c>
      <c r="D69" s="2" t="s">
        <v>283</v>
      </c>
      <c r="E69" s="2" t="s">
        <v>17</v>
      </c>
      <c r="F69" s="2" t="s">
        <v>12</v>
      </c>
      <c r="G69" s="15">
        <v>450</v>
      </c>
      <c r="H69" s="3">
        <v>45375</v>
      </c>
    </row>
    <row r="70" spans="1:8" ht="14.25" customHeight="1" x14ac:dyDescent="0.2">
      <c r="A70" s="2" t="s">
        <v>284</v>
      </c>
      <c r="B70" s="2" t="s">
        <v>285</v>
      </c>
      <c r="C70" s="2" t="s">
        <v>286</v>
      </c>
      <c r="D70" s="2" t="s">
        <v>287</v>
      </c>
      <c r="E70" s="2" t="s">
        <v>11</v>
      </c>
      <c r="F70" s="2" t="s">
        <v>22</v>
      </c>
      <c r="G70" s="15">
        <v>700</v>
      </c>
      <c r="H70" s="3">
        <v>45391</v>
      </c>
    </row>
    <row r="71" spans="1:8" ht="14.25" customHeight="1" x14ac:dyDescent="0.2">
      <c r="A71" s="2" t="s">
        <v>288</v>
      </c>
      <c r="B71" s="2" t="s">
        <v>289</v>
      </c>
      <c r="C71" s="2" t="s">
        <v>290</v>
      </c>
      <c r="D71" s="2" t="s">
        <v>291</v>
      </c>
      <c r="E71" s="2" t="s">
        <v>17</v>
      </c>
      <c r="F71" s="2" t="s">
        <v>27</v>
      </c>
      <c r="G71" s="15">
        <v>300</v>
      </c>
      <c r="H71" s="3">
        <v>45399</v>
      </c>
    </row>
    <row r="72" spans="1:8" ht="14.25" customHeight="1" x14ac:dyDescent="0.2">
      <c r="A72" s="2" t="s">
        <v>292</v>
      </c>
      <c r="B72" s="2" t="s">
        <v>293</v>
      </c>
      <c r="C72" s="2" t="s">
        <v>294</v>
      </c>
      <c r="D72" s="2" t="s">
        <v>295</v>
      </c>
      <c r="E72" s="2" t="s">
        <v>11</v>
      </c>
      <c r="F72" s="2" t="s">
        <v>12</v>
      </c>
      <c r="G72" s="15">
        <v>450</v>
      </c>
      <c r="H72" s="3">
        <v>45410</v>
      </c>
    </row>
    <row r="73" spans="1:8" ht="14.25" customHeight="1" x14ac:dyDescent="0.2">
      <c r="A73" s="2" t="s">
        <v>296</v>
      </c>
      <c r="B73" s="2" t="s">
        <v>297</v>
      </c>
      <c r="C73" s="2" t="s">
        <v>298</v>
      </c>
      <c r="D73" s="2" t="s">
        <v>299</v>
      </c>
      <c r="E73" s="2" t="s">
        <v>17</v>
      </c>
      <c r="F73" s="2" t="s">
        <v>22</v>
      </c>
      <c r="G73" s="15">
        <v>700</v>
      </c>
      <c r="H73" s="3">
        <v>45416</v>
      </c>
    </row>
    <row r="74" spans="1:8" ht="14.25" customHeight="1" x14ac:dyDescent="0.2">
      <c r="A74" s="2" t="s">
        <v>300</v>
      </c>
      <c r="B74" s="2" t="s">
        <v>301</v>
      </c>
      <c r="C74" s="2" t="s">
        <v>302</v>
      </c>
      <c r="D74" s="2" t="s">
        <v>303</v>
      </c>
      <c r="E74" s="2" t="s">
        <v>11</v>
      </c>
      <c r="F74" s="2" t="s">
        <v>27</v>
      </c>
      <c r="G74" s="15">
        <v>300</v>
      </c>
      <c r="H74" s="3">
        <v>45425</v>
      </c>
    </row>
    <row r="75" spans="1:8" ht="14.25" customHeight="1" x14ac:dyDescent="0.2">
      <c r="A75" s="2" t="s">
        <v>304</v>
      </c>
      <c r="B75" s="2" t="s">
        <v>305</v>
      </c>
      <c r="C75" s="2" t="s">
        <v>306</v>
      </c>
      <c r="D75" s="2" t="s">
        <v>307</v>
      </c>
      <c r="E75" s="2" t="s">
        <v>17</v>
      </c>
      <c r="F75" s="2" t="s">
        <v>12</v>
      </c>
      <c r="G75" s="15">
        <v>450</v>
      </c>
      <c r="H75" s="3">
        <v>45437</v>
      </c>
    </row>
    <row r="76" spans="1:8" ht="14.25" customHeight="1" x14ac:dyDescent="0.2">
      <c r="A76" s="2" t="s">
        <v>308</v>
      </c>
      <c r="B76" s="2" t="s">
        <v>309</v>
      </c>
      <c r="C76" s="2" t="s">
        <v>310</v>
      </c>
      <c r="D76" s="2" t="s">
        <v>311</v>
      </c>
      <c r="E76" s="2" t="s">
        <v>11</v>
      </c>
      <c r="F76" s="2" t="s">
        <v>22</v>
      </c>
      <c r="G76" s="15">
        <v>700</v>
      </c>
      <c r="H76" s="3">
        <v>45456</v>
      </c>
    </row>
    <row r="77" spans="1:8" ht="14.25" customHeight="1" x14ac:dyDescent="0.2">
      <c r="A77" s="2" t="s">
        <v>312</v>
      </c>
      <c r="B77" s="2" t="s">
        <v>313</v>
      </c>
      <c r="C77" s="2" t="s">
        <v>314</v>
      </c>
      <c r="D77" s="2" t="s">
        <v>315</v>
      </c>
      <c r="E77" s="2" t="s">
        <v>17</v>
      </c>
      <c r="F77" s="2" t="s">
        <v>27</v>
      </c>
      <c r="G77" s="15">
        <v>300</v>
      </c>
      <c r="H77" s="3">
        <v>45459</v>
      </c>
    </row>
    <row r="78" spans="1:8" ht="14.25" customHeight="1" x14ac:dyDescent="0.2">
      <c r="A78" s="2" t="s">
        <v>316</v>
      </c>
      <c r="B78" s="2" t="s">
        <v>317</v>
      </c>
      <c r="C78" s="2" t="s">
        <v>318</v>
      </c>
      <c r="D78" s="2" t="s">
        <v>319</v>
      </c>
      <c r="E78" s="2" t="s">
        <v>11</v>
      </c>
      <c r="F78" s="2" t="s">
        <v>12</v>
      </c>
      <c r="G78" s="15">
        <v>450</v>
      </c>
      <c r="H78" s="3">
        <v>45461</v>
      </c>
    </row>
    <row r="79" spans="1:8" ht="14.25" customHeight="1" x14ac:dyDescent="0.2">
      <c r="A79" s="2" t="s">
        <v>320</v>
      </c>
      <c r="B79" s="2" t="s">
        <v>321</v>
      </c>
      <c r="C79" s="2" t="s">
        <v>322</v>
      </c>
      <c r="D79" s="2" t="s">
        <v>323</v>
      </c>
      <c r="E79" s="2" t="s">
        <v>17</v>
      </c>
      <c r="F79" s="2" t="s">
        <v>22</v>
      </c>
      <c r="G79" s="15">
        <v>700</v>
      </c>
      <c r="H79" s="3">
        <v>45466</v>
      </c>
    </row>
    <row r="80" spans="1:8" ht="14.25" customHeight="1" x14ac:dyDescent="0.2">
      <c r="A80" s="2" t="s">
        <v>324</v>
      </c>
      <c r="B80" s="2" t="s">
        <v>325</v>
      </c>
      <c r="C80" s="2" t="s">
        <v>326</v>
      </c>
      <c r="D80" s="2" t="s">
        <v>327</v>
      </c>
      <c r="E80" s="2" t="s">
        <v>11</v>
      </c>
      <c r="F80" s="2" t="s">
        <v>27</v>
      </c>
      <c r="G80" s="15">
        <v>300</v>
      </c>
      <c r="H80" s="3">
        <v>45470</v>
      </c>
    </row>
    <row r="81" spans="1:8" ht="14.25" customHeight="1" x14ac:dyDescent="0.2">
      <c r="A81" s="2" t="s">
        <v>328</v>
      </c>
      <c r="B81" s="2" t="s">
        <v>329</v>
      </c>
      <c r="C81" s="2" t="s">
        <v>330</v>
      </c>
      <c r="D81" s="2" t="s">
        <v>331</v>
      </c>
      <c r="E81" s="2" t="s">
        <v>17</v>
      </c>
      <c r="F81" s="2" t="s">
        <v>12</v>
      </c>
      <c r="G81" s="15">
        <v>450</v>
      </c>
      <c r="H81" s="3">
        <v>45471</v>
      </c>
    </row>
    <row r="82" spans="1:8" ht="14.25" customHeight="1" x14ac:dyDescent="0.2">
      <c r="A82" s="2" t="s">
        <v>332</v>
      </c>
      <c r="B82" s="2" t="s">
        <v>333</v>
      </c>
      <c r="C82" s="2" t="s">
        <v>334</v>
      </c>
      <c r="D82" s="2" t="s">
        <v>335</v>
      </c>
      <c r="E82" s="2" t="s">
        <v>11</v>
      </c>
      <c r="F82" s="2" t="s">
        <v>22</v>
      </c>
      <c r="G82" s="15">
        <v>700</v>
      </c>
      <c r="H82" s="3">
        <v>45474</v>
      </c>
    </row>
    <row r="83" spans="1:8" ht="14.25" customHeight="1" x14ac:dyDescent="0.2">
      <c r="A83" s="2" t="s">
        <v>336</v>
      </c>
      <c r="B83" s="2" t="s">
        <v>337</v>
      </c>
      <c r="C83" s="2" t="s">
        <v>338</v>
      </c>
      <c r="D83" s="2" t="s">
        <v>339</v>
      </c>
      <c r="E83" s="2" t="s">
        <v>17</v>
      </c>
      <c r="F83" s="2" t="s">
        <v>27</v>
      </c>
      <c r="G83" s="15">
        <v>300</v>
      </c>
      <c r="H83" s="3">
        <v>45476</v>
      </c>
    </row>
    <row r="84" spans="1:8" ht="14.25" customHeight="1" x14ac:dyDescent="0.2">
      <c r="A84" s="2" t="s">
        <v>340</v>
      </c>
      <c r="B84" s="2" t="s">
        <v>341</v>
      </c>
      <c r="C84" s="2" t="s">
        <v>342</v>
      </c>
      <c r="D84" s="2" t="s">
        <v>343</v>
      </c>
      <c r="E84" s="2" t="s">
        <v>11</v>
      </c>
      <c r="F84" s="2" t="s">
        <v>12</v>
      </c>
      <c r="G84" s="15">
        <v>450</v>
      </c>
      <c r="H84" s="3">
        <v>45484</v>
      </c>
    </row>
    <row r="85" spans="1:8" ht="14.25" customHeight="1" x14ac:dyDescent="0.2">
      <c r="A85" s="2" t="s">
        <v>344</v>
      </c>
      <c r="B85" s="2" t="s">
        <v>345</v>
      </c>
      <c r="C85" s="2" t="s">
        <v>346</v>
      </c>
      <c r="D85" s="2" t="s">
        <v>347</v>
      </c>
      <c r="E85" s="2" t="s">
        <v>17</v>
      </c>
      <c r="F85" s="2" t="s">
        <v>22</v>
      </c>
      <c r="G85" s="15">
        <v>700</v>
      </c>
      <c r="H85" s="3">
        <v>45506</v>
      </c>
    </row>
    <row r="86" spans="1:8" ht="14.25" customHeight="1" x14ac:dyDescent="0.2">
      <c r="A86" s="2" t="s">
        <v>348</v>
      </c>
      <c r="B86" s="2" t="s">
        <v>349</v>
      </c>
      <c r="C86" s="2" t="s">
        <v>350</v>
      </c>
      <c r="D86" s="2" t="s">
        <v>351</v>
      </c>
      <c r="E86" s="2" t="s">
        <v>11</v>
      </c>
      <c r="F86" s="2" t="s">
        <v>27</v>
      </c>
      <c r="G86" s="15">
        <v>300</v>
      </c>
      <c r="H86" s="3">
        <v>45513</v>
      </c>
    </row>
    <row r="87" spans="1:8" ht="14.25" customHeight="1" x14ac:dyDescent="0.2">
      <c r="A87" s="2" t="s">
        <v>352</v>
      </c>
      <c r="B87" s="2" t="s">
        <v>353</v>
      </c>
      <c r="C87" s="2" t="s">
        <v>354</v>
      </c>
      <c r="D87" s="2" t="s">
        <v>355</v>
      </c>
      <c r="E87" s="2" t="s">
        <v>17</v>
      </c>
      <c r="F87" s="2" t="s">
        <v>12</v>
      </c>
      <c r="G87" s="15">
        <v>450</v>
      </c>
      <c r="H87" s="3">
        <v>45518</v>
      </c>
    </row>
    <row r="88" spans="1:8" ht="14.25" customHeight="1" x14ac:dyDescent="0.2">
      <c r="A88" s="2" t="s">
        <v>356</v>
      </c>
      <c r="B88" s="2" t="s">
        <v>357</v>
      </c>
      <c r="C88" s="2" t="s">
        <v>358</v>
      </c>
      <c r="D88" s="2" t="s">
        <v>359</v>
      </c>
      <c r="E88" s="2" t="s">
        <v>11</v>
      </c>
      <c r="F88" s="2" t="s">
        <v>22</v>
      </c>
      <c r="G88" s="15">
        <v>700</v>
      </c>
      <c r="H88" s="3">
        <v>45526</v>
      </c>
    </row>
    <row r="89" spans="1:8" ht="14.25" customHeight="1" x14ac:dyDescent="0.2">
      <c r="A89" s="2" t="s">
        <v>360</v>
      </c>
      <c r="B89" s="2" t="s">
        <v>361</v>
      </c>
      <c r="C89" s="2" t="s">
        <v>362</v>
      </c>
      <c r="D89" s="2" t="s">
        <v>363</v>
      </c>
      <c r="E89" s="2" t="s">
        <v>17</v>
      </c>
      <c r="F89" s="2" t="s">
        <v>27</v>
      </c>
      <c r="G89" s="15">
        <v>300</v>
      </c>
      <c r="H89" s="3">
        <v>45530</v>
      </c>
    </row>
    <row r="90" spans="1:8" ht="14.25" customHeight="1" x14ac:dyDescent="0.2">
      <c r="A90" s="2" t="s">
        <v>364</v>
      </c>
      <c r="B90" s="2" t="s">
        <v>365</v>
      </c>
      <c r="C90" s="2" t="s">
        <v>366</v>
      </c>
      <c r="D90" s="2" t="s">
        <v>367</v>
      </c>
      <c r="E90" s="2" t="s">
        <v>11</v>
      </c>
      <c r="F90" s="2" t="s">
        <v>12</v>
      </c>
      <c r="G90" s="15">
        <v>450</v>
      </c>
      <c r="H90" s="3">
        <v>45533</v>
      </c>
    </row>
    <row r="91" spans="1:8" ht="14.25" customHeight="1" x14ac:dyDescent="0.2">
      <c r="A91" s="2" t="s">
        <v>368</v>
      </c>
      <c r="B91" s="2" t="s">
        <v>369</v>
      </c>
      <c r="C91" s="2" t="s">
        <v>370</v>
      </c>
      <c r="D91" s="2" t="s">
        <v>371</v>
      </c>
      <c r="E91" s="2" t="s">
        <v>17</v>
      </c>
      <c r="F91" s="2" t="s">
        <v>22</v>
      </c>
      <c r="G91" s="15">
        <v>700</v>
      </c>
      <c r="H91" s="3">
        <v>45534</v>
      </c>
    </row>
    <row r="92" spans="1:8" ht="14.25" customHeight="1" x14ac:dyDescent="0.2">
      <c r="A92" s="2" t="s">
        <v>372</v>
      </c>
      <c r="B92" s="2" t="s">
        <v>373</v>
      </c>
      <c r="C92" s="2" t="s">
        <v>374</v>
      </c>
      <c r="D92" s="2" t="s">
        <v>375</v>
      </c>
      <c r="E92" s="2" t="s">
        <v>11</v>
      </c>
      <c r="F92" s="2" t="s">
        <v>27</v>
      </c>
      <c r="G92" s="15">
        <v>300</v>
      </c>
      <c r="H92" s="3">
        <v>45560</v>
      </c>
    </row>
    <row r="93" spans="1:8" ht="14.25" customHeight="1" x14ac:dyDescent="0.2">
      <c r="A93" s="2" t="s">
        <v>376</v>
      </c>
      <c r="B93" s="2" t="s">
        <v>377</v>
      </c>
      <c r="C93" s="2" t="s">
        <v>378</v>
      </c>
      <c r="D93" s="2" t="s">
        <v>379</v>
      </c>
      <c r="E93" s="2" t="s">
        <v>17</v>
      </c>
      <c r="F93" s="2" t="s">
        <v>12</v>
      </c>
      <c r="G93" s="15">
        <v>450</v>
      </c>
      <c r="H93" s="3">
        <v>45562</v>
      </c>
    </row>
    <row r="94" spans="1:8" ht="14.25" customHeight="1" x14ac:dyDescent="0.2">
      <c r="A94" s="2" t="s">
        <v>380</v>
      </c>
      <c r="B94" s="2" t="s">
        <v>381</v>
      </c>
      <c r="C94" s="2" t="s">
        <v>382</v>
      </c>
      <c r="D94" s="2" t="s">
        <v>383</v>
      </c>
      <c r="E94" s="2" t="s">
        <v>11</v>
      </c>
      <c r="F94" s="2" t="s">
        <v>22</v>
      </c>
      <c r="G94" s="15">
        <v>700</v>
      </c>
      <c r="H94" s="3">
        <v>45566</v>
      </c>
    </row>
    <row r="95" spans="1:8" ht="14.25" customHeight="1" x14ac:dyDescent="0.2">
      <c r="A95" s="2" t="s">
        <v>384</v>
      </c>
      <c r="B95" s="2" t="s">
        <v>385</v>
      </c>
      <c r="C95" s="2" t="s">
        <v>386</v>
      </c>
      <c r="D95" s="2" t="s">
        <v>387</v>
      </c>
      <c r="E95" s="2" t="s">
        <v>17</v>
      </c>
      <c r="F95" s="2" t="s">
        <v>27</v>
      </c>
      <c r="G95" s="15">
        <v>300</v>
      </c>
      <c r="H95" s="3">
        <v>45571</v>
      </c>
    </row>
    <row r="96" spans="1:8" ht="14.25" customHeight="1" x14ac:dyDescent="0.2">
      <c r="A96" s="2" t="s">
        <v>388</v>
      </c>
      <c r="B96" s="2" t="s">
        <v>389</v>
      </c>
      <c r="C96" s="2" t="s">
        <v>390</v>
      </c>
      <c r="D96" s="2" t="s">
        <v>391</v>
      </c>
      <c r="E96" s="2" t="s">
        <v>11</v>
      </c>
      <c r="F96" s="2" t="s">
        <v>12</v>
      </c>
      <c r="G96" s="15">
        <v>450</v>
      </c>
      <c r="H96" s="3">
        <v>45581</v>
      </c>
    </row>
    <row r="97" spans="1:8" ht="14.25" customHeight="1" x14ac:dyDescent="0.2">
      <c r="A97" s="2" t="s">
        <v>392</v>
      </c>
      <c r="B97" s="2" t="s">
        <v>393</v>
      </c>
      <c r="C97" s="2" t="s">
        <v>394</v>
      </c>
      <c r="D97" s="2" t="s">
        <v>395</v>
      </c>
      <c r="E97" s="2" t="s">
        <v>17</v>
      </c>
      <c r="F97" s="2" t="s">
        <v>22</v>
      </c>
      <c r="G97" s="15">
        <v>700</v>
      </c>
      <c r="H97" s="3">
        <v>45588</v>
      </c>
    </row>
    <row r="98" spans="1:8" ht="14.25" customHeight="1" x14ac:dyDescent="0.2">
      <c r="A98" s="2" t="s">
        <v>396</v>
      </c>
      <c r="B98" s="2" t="s">
        <v>397</v>
      </c>
      <c r="C98" s="2" t="s">
        <v>398</v>
      </c>
      <c r="D98" s="2" t="s">
        <v>399</v>
      </c>
      <c r="E98" s="2" t="s">
        <v>11</v>
      </c>
      <c r="F98" s="2" t="s">
        <v>27</v>
      </c>
      <c r="G98" s="15">
        <v>300</v>
      </c>
      <c r="H98" s="3">
        <v>45590</v>
      </c>
    </row>
    <row r="99" spans="1:8" ht="14.25" customHeight="1" x14ac:dyDescent="0.2">
      <c r="A99" s="2" t="s">
        <v>400</v>
      </c>
      <c r="B99" s="2" t="s">
        <v>401</v>
      </c>
      <c r="C99" s="2" t="s">
        <v>402</v>
      </c>
      <c r="D99" s="2" t="s">
        <v>403</v>
      </c>
      <c r="E99" s="2" t="s">
        <v>17</v>
      </c>
      <c r="F99" s="2" t="s">
        <v>12</v>
      </c>
      <c r="G99" s="15">
        <v>450</v>
      </c>
      <c r="H99" s="3">
        <v>45593</v>
      </c>
    </row>
    <row r="100" spans="1:8" ht="14.25" customHeight="1" x14ac:dyDescent="0.2">
      <c r="A100" s="2" t="s">
        <v>404</v>
      </c>
      <c r="B100" s="2" t="s">
        <v>405</v>
      </c>
      <c r="C100" s="2" t="s">
        <v>406</v>
      </c>
      <c r="D100" s="2" t="s">
        <v>407</v>
      </c>
      <c r="E100" s="2" t="s">
        <v>11</v>
      </c>
      <c r="F100" s="2" t="s">
        <v>22</v>
      </c>
      <c r="G100" s="15">
        <v>700</v>
      </c>
      <c r="H100" s="3">
        <v>45598</v>
      </c>
    </row>
    <row r="101" spans="1:8" ht="14.25" customHeight="1" x14ac:dyDescent="0.2">
      <c r="A101" s="2"/>
      <c r="B101" s="2"/>
      <c r="C101" s="2"/>
      <c r="D101" s="2"/>
      <c r="E101" s="2"/>
      <c r="F101" s="2"/>
      <c r="G101" s="13"/>
      <c r="H101" s="3"/>
    </row>
    <row r="102" spans="1:8" ht="14.25" customHeight="1" x14ac:dyDescent="0.2"/>
    <row r="103" spans="1:8" ht="14.25" customHeight="1" x14ac:dyDescent="0.2"/>
    <row r="104" spans="1:8" ht="14.25" customHeight="1" x14ac:dyDescent="0.2"/>
    <row r="105" spans="1:8" ht="14.25" customHeight="1" x14ac:dyDescent="0.2"/>
    <row r="106" spans="1:8" ht="14.25" customHeight="1" x14ac:dyDescent="0.2"/>
    <row r="107" spans="1:8" ht="14.25" customHeight="1" x14ac:dyDescent="0.2"/>
    <row r="108" spans="1:8" ht="14.25" customHeight="1" x14ac:dyDescent="0.2"/>
    <row r="109" spans="1:8" ht="14.25" customHeight="1" x14ac:dyDescent="0.2"/>
    <row r="110" spans="1:8" ht="14.25" customHeight="1" x14ac:dyDescent="0.2"/>
    <row r="111" spans="1:8" ht="14.25" customHeight="1" x14ac:dyDescent="0.2"/>
    <row r="112" spans="1:8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autoFilter ref="A1:H101" xr:uid="{00000000-0009-0000-0000-000000000000}"/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tão1_Click">
                <anchor moveWithCells="1" sizeWithCells="1">
                  <from>
                    <xdr:col>9</xdr:col>
                    <xdr:colOff>63500</xdr:colOff>
                    <xdr:row>2</xdr:row>
                    <xdr:rowOff>38100</xdr:rowOff>
                  </from>
                  <to>
                    <xdr:col>11</xdr:col>
                    <xdr:colOff>444500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1EBE-2447-45D8-B987-A29601F44C69}">
  <sheetPr codeName="Folha4"/>
  <dimension ref="C9:D10"/>
  <sheetViews>
    <sheetView topLeftCell="A15" workbookViewId="0">
      <selection activeCell="C42" sqref="C42:D54"/>
    </sheetView>
  </sheetViews>
  <sheetFormatPr baseColWidth="10" defaultColWidth="8.83203125" defaultRowHeight="15" x14ac:dyDescent="0.2"/>
  <cols>
    <col min="3" max="3" width="16.6640625" customWidth="1"/>
    <col min="4" max="4" width="8.6640625" customWidth="1"/>
  </cols>
  <sheetData>
    <row r="9" spans="3:4" ht="16" x14ac:dyDescent="0.2">
      <c r="C9" s="20" t="s">
        <v>434</v>
      </c>
      <c r="D9">
        <v>99</v>
      </c>
    </row>
    <row r="10" spans="3:4" ht="16" x14ac:dyDescent="0.2">
      <c r="C10" s="20" t="s">
        <v>435</v>
      </c>
      <c r="D10">
        <v>48000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Dashboard">
                <anchor moveWithCells="1" sizeWithCells="1">
                  <from>
                    <xdr:col>17</xdr:col>
                    <xdr:colOff>546100</xdr:colOff>
                    <xdr:row>7</xdr:row>
                    <xdr:rowOff>177800</xdr:rowOff>
                  </from>
                  <to>
                    <xdr:col>21</xdr:col>
                    <xdr:colOff>50800</xdr:colOff>
                    <xdr:row>12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4852B-E4C7-4258-AA0E-D41759CC64D9}">
  <sheetPr codeName="Folha9"/>
  <dimension ref="C9:D53"/>
  <sheetViews>
    <sheetView topLeftCell="A27" workbookViewId="0">
      <selection activeCell="S20" sqref="S20"/>
    </sheetView>
  </sheetViews>
  <sheetFormatPr baseColWidth="10" defaultColWidth="8.83203125" defaultRowHeight="15" x14ac:dyDescent="0.2"/>
  <cols>
    <col min="3" max="3" width="44.6640625" customWidth="1"/>
    <col min="4" max="4" width="10" customWidth="1"/>
  </cols>
  <sheetData>
    <row r="9" spans="3:3" ht="16" x14ac:dyDescent="0.2">
      <c r="C9" s="20"/>
    </row>
    <row r="10" spans="3:3" ht="16" x14ac:dyDescent="0.2">
      <c r="C10" s="20"/>
    </row>
    <row r="41" spans="3:4" ht="24" x14ac:dyDescent="0.3">
      <c r="C41" s="16" t="s">
        <v>432</v>
      </c>
    </row>
    <row r="43" spans="3:4" ht="24" x14ac:dyDescent="0.3">
      <c r="C43" s="16" t="s">
        <v>428</v>
      </c>
      <c r="D43" s="19">
        <v>750</v>
      </c>
    </row>
    <row r="44" spans="3:4" ht="24" x14ac:dyDescent="0.3">
      <c r="C44" s="16" t="s">
        <v>431</v>
      </c>
      <c r="D44" s="19">
        <v>180</v>
      </c>
    </row>
    <row r="45" spans="3:4" ht="24" x14ac:dyDescent="0.3">
      <c r="C45" s="16" t="s">
        <v>429</v>
      </c>
      <c r="D45" s="19">
        <v>35000</v>
      </c>
    </row>
    <row r="46" spans="3:4" ht="24" x14ac:dyDescent="0.3">
      <c r="C46" s="16" t="s">
        <v>430</v>
      </c>
      <c r="D46" s="19">
        <f>D43*D44-D45</f>
        <v>100000</v>
      </c>
    </row>
    <row r="47" spans="3:4" ht="24" x14ac:dyDescent="0.3">
      <c r="C47" s="16"/>
      <c r="D47" s="18"/>
    </row>
    <row r="48" spans="3:4" ht="24" x14ac:dyDescent="0.3">
      <c r="C48" s="16" t="s">
        <v>433</v>
      </c>
    </row>
    <row r="50" spans="3:4" ht="24" x14ac:dyDescent="0.3">
      <c r="C50" s="16" t="s">
        <v>428</v>
      </c>
      <c r="D50" s="19">
        <v>706</v>
      </c>
    </row>
    <row r="51" spans="3:4" ht="24" x14ac:dyDescent="0.3">
      <c r="C51" s="16" t="s">
        <v>431</v>
      </c>
      <c r="D51" s="19">
        <v>82.577903682719551</v>
      </c>
    </row>
    <row r="52" spans="3:4" ht="24" x14ac:dyDescent="0.3">
      <c r="C52" s="16" t="s">
        <v>429</v>
      </c>
      <c r="D52" s="19">
        <v>35000</v>
      </c>
    </row>
    <row r="53" spans="3:4" ht="24" x14ac:dyDescent="0.3">
      <c r="C53" s="16" t="s">
        <v>430</v>
      </c>
      <c r="D53" s="19">
        <f>D50*D51-D52</f>
        <v>23300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freshDashboard">
                <anchor moveWithCells="1" sizeWithCells="1">
                  <from>
                    <xdr:col>17</xdr:col>
                    <xdr:colOff>546100</xdr:colOff>
                    <xdr:row>7</xdr:row>
                    <xdr:rowOff>177800</xdr:rowOff>
                  </from>
                  <to>
                    <xdr:col>21</xdr:col>
                    <xdr:colOff>50800</xdr:colOff>
                    <xdr:row>12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98DE-4E93-4B1F-BFFE-7042B7207B72}">
  <sheetPr codeName="Folha3"/>
  <dimension ref="A1:U903"/>
  <sheetViews>
    <sheetView topLeftCell="I46" zoomScale="80" zoomScaleNormal="80" workbookViewId="0">
      <selection activeCell="O57" sqref="O57"/>
    </sheetView>
  </sheetViews>
  <sheetFormatPr baseColWidth="10" defaultColWidth="8.83203125" defaultRowHeight="15" x14ac:dyDescent="0.2"/>
  <cols>
    <col min="1" max="1" width="17.33203125" customWidth="1"/>
    <col min="2" max="2" width="20.6640625" customWidth="1"/>
    <col min="3" max="3" width="29.33203125" customWidth="1"/>
    <col min="4" max="4" width="45.5" customWidth="1"/>
    <col min="5" max="5" width="46.33203125" customWidth="1"/>
    <col min="6" max="6" width="18.5" customWidth="1"/>
    <col min="7" max="7" width="20.83203125" customWidth="1"/>
    <col min="8" max="8" width="36.33203125" customWidth="1"/>
    <col min="9" max="9" width="28.5" customWidth="1"/>
    <col min="10" max="10" width="23.1640625" customWidth="1"/>
    <col min="15" max="15" width="48.5" customWidth="1"/>
    <col min="16" max="16" width="20.1640625" customWidth="1"/>
    <col min="19" max="19" width="14.33203125" customWidth="1"/>
    <col min="21" max="21" width="19.5" customWidth="1"/>
    <col min="23" max="23" width="15.83203125" bestFit="1" customWidth="1"/>
  </cols>
  <sheetData>
    <row r="1" spans="1:10" x14ac:dyDescent="0.2">
      <c r="A1" t="s">
        <v>413</v>
      </c>
      <c r="B1" t="s">
        <v>414</v>
      </c>
      <c r="C1" t="s">
        <v>416</v>
      </c>
      <c r="D1" t="s">
        <v>417</v>
      </c>
      <c r="E1" s="6" t="s">
        <v>418</v>
      </c>
      <c r="F1" t="s">
        <v>413</v>
      </c>
      <c r="G1" s="6" t="s">
        <v>422</v>
      </c>
      <c r="H1" s="6" t="s">
        <v>423</v>
      </c>
      <c r="I1" t="s">
        <v>420</v>
      </c>
      <c r="J1" t="s">
        <v>421</v>
      </c>
    </row>
    <row r="2" spans="1:10" x14ac:dyDescent="0.2">
      <c r="A2" s="7">
        <v>44878</v>
      </c>
      <c r="B2">
        <v>1</v>
      </c>
      <c r="D2" s="9"/>
      <c r="E2" s="9"/>
      <c r="F2" s="10">
        <v>44878</v>
      </c>
      <c r="G2">
        <v>450</v>
      </c>
      <c r="I2" s="9"/>
      <c r="J2" s="9"/>
    </row>
    <row r="3" spans="1:10" x14ac:dyDescent="0.2">
      <c r="A3" s="7">
        <v>44879</v>
      </c>
      <c r="B3">
        <v>0</v>
      </c>
      <c r="D3" s="9"/>
      <c r="E3" s="9"/>
      <c r="F3" s="10">
        <v>44879</v>
      </c>
      <c r="G3">
        <v>0</v>
      </c>
      <c r="I3" s="9"/>
      <c r="J3" s="9"/>
    </row>
    <row r="4" spans="1:10" x14ac:dyDescent="0.2">
      <c r="A4" s="7">
        <v>44880</v>
      </c>
      <c r="B4">
        <v>0</v>
      </c>
      <c r="D4" s="9"/>
      <c r="E4" s="9"/>
      <c r="F4" s="10">
        <v>44880</v>
      </c>
      <c r="G4">
        <v>0</v>
      </c>
      <c r="I4" s="9"/>
      <c r="J4" s="9"/>
    </row>
    <row r="5" spans="1:10" x14ac:dyDescent="0.2">
      <c r="A5" s="7">
        <v>44881</v>
      </c>
      <c r="B5">
        <v>0</v>
      </c>
      <c r="D5" s="9"/>
      <c r="E5" s="9"/>
      <c r="F5" s="10">
        <v>44881</v>
      </c>
      <c r="G5">
        <v>0</v>
      </c>
      <c r="I5" s="9"/>
      <c r="J5" s="9"/>
    </row>
    <row r="6" spans="1:10" x14ac:dyDescent="0.2">
      <c r="A6" s="7">
        <v>44882</v>
      </c>
      <c r="B6">
        <v>0</v>
      </c>
      <c r="D6" s="9"/>
      <c r="E6" s="9"/>
      <c r="F6" s="10">
        <v>44882</v>
      </c>
      <c r="G6">
        <v>0</v>
      </c>
    </row>
    <row r="7" spans="1:10" x14ac:dyDescent="0.2">
      <c r="A7" s="7">
        <v>44883</v>
      </c>
      <c r="B7">
        <v>0</v>
      </c>
      <c r="D7" s="9"/>
      <c r="E7" s="9"/>
      <c r="F7" s="10">
        <v>44883</v>
      </c>
      <c r="G7">
        <v>0</v>
      </c>
    </row>
    <row r="8" spans="1:10" x14ac:dyDescent="0.2">
      <c r="A8" s="7">
        <v>44884</v>
      </c>
      <c r="B8">
        <v>0</v>
      </c>
      <c r="D8" s="9"/>
      <c r="E8" s="9"/>
      <c r="F8" s="10">
        <v>44884</v>
      </c>
      <c r="G8">
        <v>0</v>
      </c>
    </row>
    <row r="9" spans="1:10" x14ac:dyDescent="0.2">
      <c r="A9" s="7">
        <v>44885</v>
      </c>
      <c r="B9">
        <v>0</v>
      </c>
      <c r="D9" s="9"/>
      <c r="E9" s="9"/>
      <c r="F9" s="10">
        <v>44885</v>
      </c>
      <c r="G9">
        <v>0</v>
      </c>
    </row>
    <row r="10" spans="1:10" x14ac:dyDescent="0.2">
      <c r="A10" s="7">
        <v>44886</v>
      </c>
      <c r="B10">
        <v>0</v>
      </c>
      <c r="D10" s="9"/>
      <c r="E10" s="9"/>
      <c r="F10" s="10">
        <v>44886</v>
      </c>
      <c r="G10">
        <v>0</v>
      </c>
    </row>
    <row r="11" spans="1:10" x14ac:dyDescent="0.2">
      <c r="A11" s="7">
        <v>44887</v>
      </c>
      <c r="B11">
        <v>0</v>
      </c>
      <c r="D11" s="9"/>
      <c r="E11" s="9"/>
      <c r="F11" s="10">
        <v>44887</v>
      </c>
      <c r="G11">
        <v>0</v>
      </c>
    </row>
    <row r="12" spans="1:10" x14ac:dyDescent="0.2">
      <c r="A12" s="7">
        <v>44888</v>
      </c>
      <c r="B12">
        <v>0</v>
      </c>
      <c r="D12" s="9"/>
      <c r="E12" s="9"/>
      <c r="F12" s="10">
        <v>44888</v>
      </c>
      <c r="G12">
        <v>0</v>
      </c>
    </row>
    <row r="13" spans="1:10" x14ac:dyDescent="0.2">
      <c r="A13" s="7">
        <v>44889</v>
      </c>
      <c r="B13">
        <v>0</v>
      </c>
      <c r="D13" s="9"/>
      <c r="E13" s="9"/>
      <c r="F13" s="10">
        <v>44889</v>
      </c>
      <c r="G13">
        <v>0</v>
      </c>
    </row>
    <row r="14" spans="1:10" x14ac:dyDescent="0.2">
      <c r="A14" s="7">
        <v>44890</v>
      </c>
      <c r="B14">
        <v>0</v>
      </c>
      <c r="D14" s="9"/>
      <c r="E14" s="9"/>
      <c r="F14" s="10">
        <v>44890</v>
      </c>
      <c r="G14">
        <v>0</v>
      </c>
    </row>
    <row r="15" spans="1:10" x14ac:dyDescent="0.2">
      <c r="A15" s="7">
        <v>44891</v>
      </c>
      <c r="B15">
        <v>0</v>
      </c>
      <c r="D15" s="9"/>
      <c r="E15" s="9"/>
      <c r="F15" s="10">
        <v>44891</v>
      </c>
      <c r="G15">
        <v>0</v>
      </c>
    </row>
    <row r="16" spans="1:10" x14ac:dyDescent="0.2">
      <c r="A16" s="7">
        <v>44892</v>
      </c>
      <c r="B16">
        <v>0</v>
      </c>
      <c r="D16" s="9"/>
      <c r="E16" s="9"/>
      <c r="F16" s="10">
        <v>44892</v>
      </c>
      <c r="G16">
        <v>0</v>
      </c>
    </row>
    <row r="17" spans="1:7" x14ac:dyDescent="0.2">
      <c r="A17" s="7">
        <v>44893</v>
      </c>
      <c r="B17">
        <v>0</v>
      </c>
      <c r="D17" s="9"/>
      <c r="E17" s="9"/>
      <c r="F17" s="10">
        <v>44893</v>
      </c>
      <c r="G17">
        <v>0</v>
      </c>
    </row>
    <row r="18" spans="1:7" x14ac:dyDescent="0.2">
      <c r="A18" s="7">
        <v>44894</v>
      </c>
      <c r="B18">
        <v>0</v>
      </c>
      <c r="D18" s="9"/>
      <c r="E18" s="9"/>
      <c r="F18" s="10">
        <v>44894</v>
      </c>
      <c r="G18">
        <v>0</v>
      </c>
    </row>
    <row r="19" spans="1:7" x14ac:dyDescent="0.2">
      <c r="A19" s="7">
        <v>44895</v>
      </c>
      <c r="B19">
        <v>0</v>
      </c>
      <c r="D19" s="9"/>
      <c r="E19" s="9"/>
      <c r="F19" s="10">
        <v>44895</v>
      </c>
      <c r="G19">
        <v>0</v>
      </c>
    </row>
    <row r="20" spans="1:7" x14ac:dyDescent="0.2">
      <c r="A20" s="7">
        <v>44896</v>
      </c>
      <c r="B20">
        <v>0</v>
      </c>
      <c r="D20" s="9"/>
      <c r="E20" s="9"/>
      <c r="F20" s="10">
        <v>44896</v>
      </c>
      <c r="G20">
        <v>0</v>
      </c>
    </row>
    <row r="21" spans="1:7" x14ac:dyDescent="0.2">
      <c r="A21" s="7">
        <v>44897</v>
      </c>
      <c r="B21">
        <v>0</v>
      </c>
      <c r="D21" s="9"/>
      <c r="E21" s="9"/>
      <c r="F21" s="10">
        <v>44897</v>
      </c>
      <c r="G21">
        <v>0</v>
      </c>
    </row>
    <row r="22" spans="1:7" x14ac:dyDescent="0.2">
      <c r="A22" s="7">
        <v>44898</v>
      </c>
      <c r="B22">
        <v>0</v>
      </c>
      <c r="D22" s="9"/>
      <c r="E22" s="9"/>
      <c r="F22" s="10">
        <v>44898</v>
      </c>
      <c r="G22">
        <v>0</v>
      </c>
    </row>
    <row r="23" spans="1:7" x14ac:dyDescent="0.2">
      <c r="A23" s="7">
        <v>44899</v>
      </c>
      <c r="B23">
        <v>0</v>
      </c>
      <c r="D23" s="9"/>
      <c r="E23" s="9"/>
      <c r="F23" s="10">
        <v>44899</v>
      </c>
      <c r="G23">
        <v>0</v>
      </c>
    </row>
    <row r="24" spans="1:7" x14ac:dyDescent="0.2">
      <c r="A24" s="7">
        <v>44900</v>
      </c>
      <c r="B24">
        <v>0</v>
      </c>
      <c r="D24" s="9"/>
      <c r="E24" s="9"/>
      <c r="F24" s="10">
        <v>44900</v>
      </c>
      <c r="G24">
        <v>0</v>
      </c>
    </row>
    <row r="25" spans="1:7" x14ac:dyDescent="0.2">
      <c r="A25" s="7">
        <v>44901</v>
      </c>
      <c r="B25">
        <v>0</v>
      </c>
      <c r="D25" s="9"/>
      <c r="E25" s="9"/>
      <c r="F25" s="10">
        <v>44901</v>
      </c>
      <c r="G25">
        <v>0</v>
      </c>
    </row>
    <row r="26" spans="1:7" x14ac:dyDescent="0.2">
      <c r="A26" s="7">
        <v>44902</v>
      </c>
      <c r="B26">
        <v>0</v>
      </c>
      <c r="D26" s="9"/>
      <c r="E26" s="9"/>
      <c r="F26" s="10">
        <v>44902</v>
      </c>
      <c r="G26">
        <v>0</v>
      </c>
    </row>
    <row r="27" spans="1:7" x14ac:dyDescent="0.2">
      <c r="A27" s="7">
        <v>44903</v>
      </c>
      <c r="B27">
        <v>0</v>
      </c>
      <c r="D27" s="9"/>
      <c r="E27" s="9"/>
      <c r="F27" s="10">
        <v>44903</v>
      </c>
      <c r="G27">
        <v>0</v>
      </c>
    </row>
    <row r="28" spans="1:7" x14ac:dyDescent="0.2">
      <c r="A28" s="7">
        <v>44904</v>
      </c>
      <c r="B28">
        <v>0</v>
      </c>
      <c r="D28" s="9"/>
      <c r="E28" s="9"/>
      <c r="F28" s="10">
        <v>44904</v>
      </c>
      <c r="G28">
        <v>0</v>
      </c>
    </row>
    <row r="29" spans="1:7" x14ac:dyDescent="0.2">
      <c r="A29" s="7">
        <v>44905</v>
      </c>
      <c r="B29">
        <v>0</v>
      </c>
      <c r="D29" s="9"/>
      <c r="E29" s="9"/>
      <c r="F29" s="10">
        <v>44905</v>
      </c>
      <c r="G29">
        <v>0</v>
      </c>
    </row>
    <row r="30" spans="1:7" x14ac:dyDescent="0.2">
      <c r="A30" s="7">
        <v>44906</v>
      </c>
      <c r="B30">
        <v>0</v>
      </c>
      <c r="D30" s="9"/>
      <c r="E30" s="9"/>
      <c r="F30" s="10">
        <v>44906</v>
      </c>
      <c r="G30">
        <v>0</v>
      </c>
    </row>
    <row r="31" spans="1:7" x14ac:dyDescent="0.2">
      <c r="A31" s="7">
        <v>44907</v>
      </c>
      <c r="B31">
        <v>0</v>
      </c>
      <c r="D31" s="9"/>
      <c r="E31" s="9"/>
      <c r="F31" s="10">
        <v>44907</v>
      </c>
      <c r="G31">
        <v>0</v>
      </c>
    </row>
    <row r="32" spans="1:7" x14ac:dyDescent="0.2">
      <c r="A32" s="7">
        <v>44908</v>
      </c>
      <c r="B32">
        <v>0</v>
      </c>
      <c r="D32" s="9"/>
      <c r="E32" s="9"/>
      <c r="F32" s="10">
        <v>44908</v>
      </c>
      <c r="G32">
        <v>0</v>
      </c>
    </row>
    <row r="33" spans="1:7" x14ac:dyDescent="0.2">
      <c r="A33" s="7">
        <v>44909</v>
      </c>
      <c r="B33">
        <v>1</v>
      </c>
      <c r="D33" s="9"/>
      <c r="E33" s="9"/>
      <c r="F33" s="10">
        <v>44909</v>
      </c>
      <c r="G33">
        <v>450</v>
      </c>
    </row>
    <row r="34" spans="1:7" x14ac:dyDescent="0.2">
      <c r="A34" s="7">
        <v>44910</v>
      </c>
      <c r="B34">
        <v>0</v>
      </c>
      <c r="D34" s="9"/>
      <c r="E34" s="9"/>
      <c r="F34" s="10">
        <v>44910</v>
      </c>
      <c r="G34">
        <v>0</v>
      </c>
    </row>
    <row r="35" spans="1:7" x14ac:dyDescent="0.2">
      <c r="A35" s="7">
        <v>44911</v>
      </c>
      <c r="B35">
        <v>0</v>
      </c>
      <c r="D35" s="9"/>
      <c r="E35" s="9"/>
      <c r="F35" s="10">
        <v>44911</v>
      </c>
      <c r="G35">
        <v>0</v>
      </c>
    </row>
    <row r="36" spans="1:7" x14ac:dyDescent="0.2">
      <c r="A36" s="7">
        <v>44912</v>
      </c>
      <c r="B36">
        <v>0</v>
      </c>
      <c r="D36" s="9"/>
      <c r="E36" s="9"/>
      <c r="F36" s="10">
        <v>44912</v>
      </c>
      <c r="G36">
        <v>0</v>
      </c>
    </row>
    <row r="37" spans="1:7" x14ac:dyDescent="0.2">
      <c r="A37" s="7">
        <v>44913</v>
      </c>
      <c r="B37">
        <v>0</v>
      </c>
      <c r="D37" s="9"/>
      <c r="E37" s="9"/>
      <c r="F37" s="10">
        <v>44913</v>
      </c>
      <c r="G37">
        <v>0</v>
      </c>
    </row>
    <row r="38" spans="1:7" x14ac:dyDescent="0.2">
      <c r="A38" s="7">
        <v>44914</v>
      </c>
      <c r="B38">
        <v>0</v>
      </c>
      <c r="D38" s="9"/>
      <c r="E38" s="9"/>
      <c r="F38" s="10">
        <v>44914</v>
      </c>
      <c r="G38">
        <v>0</v>
      </c>
    </row>
    <row r="39" spans="1:7" x14ac:dyDescent="0.2">
      <c r="A39" s="7">
        <v>44915</v>
      </c>
      <c r="B39">
        <v>1</v>
      </c>
      <c r="D39" s="9"/>
      <c r="E39" s="9"/>
      <c r="F39" s="10">
        <v>44915</v>
      </c>
      <c r="G39">
        <v>700</v>
      </c>
    </row>
    <row r="40" spans="1:7" x14ac:dyDescent="0.2">
      <c r="A40" s="7">
        <v>44916</v>
      </c>
      <c r="B40">
        <v>0</v>
      </c>
      <c r="D40" s="9"/>
      <c r="E40" s="9"/>
      <c r="F40" s="10">
        <v>44916</v>
      </c>
      <c r="G40">
        <v>0</v>
      </c>
    </row>
    <row r="41" spans="1:7" x14ac:dyDescent="0.2">
      <c r="A41" s="7">
        <v>44917</v>
      </c>
      <c r="B41">
        <v>0</v>
      </c>
      <c r="D41" s="9"/>
      <c r="E41" s="9"/>
      <c r="F41" s="10">
        <v>44917</v>
      </c>
      <c r="G41">
        <v>0</v>
      </c>
    </row>
    <row r="42" spans="1:7" x14ac:dyDescent="0.2">
      <c r="A42" s="7">
        <v>44918</v>
      </c>
      <c r="B42">
        <v>0</v>
      </c>
      <c r="D42" s="9"/>
      <c r="E42" s="9"/>
      <c r="F42" s="10">
        <v>44918</v>
      </c>
      <c r="G42">
        <v>0</v>
      </c>
    </row>
    <row r="43" spans="1:7" x14ac:dyDescent="0.2">
      <c r="A43" s="7">
        <v>44919</v>
      </c>
      <c r="B43">
        <v>0</v>
      </c>
      <c r="D43" s="9"/>
      <c r="E43" s="9"/>
      <c r="F43" s="10">
        <v>44919</v>
      </c>
      <c r="G43">
        <v>0</v>
      </c>
    </row>
    <row r="44" spans="1:7" x14ac:dyDescent="0.2">
      <c r="A44" s="7">
        <v>44920</v>
      </c>
      <c r="B44">
        <v>0</v>
      </c>
      <c r="D44" s="9"/>
      <c r="E44" s="9"/>
      <c r="F44" s="10">
        <v>44920</v>
      </c>
      <c r="G44">
        <v>0</v>
      </c>
    </row>
    <row r="45" spans="1:7" x14ac:dyDescent="0.2">
      <c r="A45" s="7">
        <v>44921</v>
      </c>
      <c r="B45">
        <v>1</v>
      </c>
      <c r="D45" s="9"/>
      <c r="E45" s="9"/>
      <c r="F45" s="10">
        <v>44921</v>
      </c>
      <c r="G45">
        <v>300</v>
      </c>
    </row>
    <row r="46" spans="1:7" x14ac:dyDescent="0.2">
      <c r="A46" s="7">
        <v>44922</v>
      </c>
      <c r="B46">
        <v>0</v>
      </c>
      <c r="D46" s="9"/>
      <c r="E46" s="9"/>
      <c r="F46" s="10">
        <v>44922</v>
      </c>
      <c r="G46">
        <v>0</v>
      </c>
    </row>
    <row r="47" spans="1:7" x14ac:dyDescent="0.2">
      <c r="A47" s="7">
        <v>44923</v>
      </c>
      <c r="B47">
        <v>0</v>
      </c>
      <c r="D47" s="9"/>
      <c r="E47" s="9"/>
      <c r="F47" s="10">
        <v>44923</v>
      </c>
      <c r="G47">
        <v>0</v>
      </c>
    </row>
    <row r="48" spans="1:7" x14ac:dyDescent="0.2">
      <c r="A48" s="7">
        <v>44924</v>
      </c>
      <c r="B48">
        <v>0</v>
      </c>
      <c r="D48" s="9"/>
      <c r="E48" s="9"/>
      <c r="F48" s="10">
        <v>44924</v>
      </c>
      <c r="G48">
        <v>0</v>
      </c>
    </row>
    <row r="49" spans="1:21" x14ac:dyDescent="0.2">
      <c r="A49" s="7">
        <v>44925</v>
      </c>
      <c r="B49">
        <v>0</v>
      </c>
      <c r="D49" s="9"/>
      <c r="E49" s="9"/>
      <c r="F49" s="10">
        <v>44925</v>
      </c>
      <c r="G49">
        <v>0</v>
      </c>
    </row>
    <row r="50" spans="1:21" x14ac:dyDescent="0.2">
      <c r="A50" s="7">
        <v>44926</v>
      </c>
      <c r="B50">
        <v>1</v>
      </c>
      <c r="D50" s="9"/>
      <c r="E50" s="9"/>
      <c r="F50" s="10">
        <v>44926</v>
      </c>
      <c r="G50">
        <v>450</v>
      </c>
    </row>
    <row r="51" spans="1:21" x14ac:dyDescent="0.2">
      <c r="A51" s="7">
        <v>44927</v>
      </c>
      <c r="B51">
        <v>0</v>
      </c>
      <c r="D51" s="9"/>
      <c r="E51" s="9"/>
      <c r="F51" s="10">
        <v>44927</v>
      </c>
      <c r="G51">
        <v>0</v>
      </c>
    </row>
    <row r="52" spans="1:21" x14ac:dyDescent="0.2">
      <c r="A52" s="7">
        <v>44928</v>
      </c>
      <c r="B52">
        <v>0</v>
      </c>
      <c r="D52" s="9"/>
      <c r="E52" s="9"/>
      <c r="F52" s="10">
        <v>44928</v>
      </c>
      <c r="G52">
        <v>0</v>
      </c>
    </row>
    <row r="53" spans="1:21" x14ac:dyDescent="0.2">
      <c r="A53" s="7">
        <v>44929</v>
      </c>
      <c r="B53">
        <v>0</v>
      </c>
      <c r="D53" s="9"/>
      <c r="E53" s="9"/>
      <c r="F53" s="10">
        <v>44929</v>
      </c>
      <c r="G53">
        <v>0</v>
      </c>
    </row>
    <row r="54" spans="1:21" x14ac:dyDescent="0.2">
      <c r="A54" s="7">
        <v>44930</v>
      </c>
      <c r="B54">
        <v>0</v>
      </c>
      <c r="D54" s="9"/>
      <c r="E54" s="9"/>
      <c r="F54" s="10">
        <v>44930</v>
      </c>
      <c r="G54">
        <v>0</v>
      </c>
    </row>
    <row r="55" spans="1:21" x14ac:dyDescent="0.2">
      <c r="A55" s="7">
        <v>44931</v>
      </c>
      <c r="B55">
        <v>0</v>
      </c>
      <c r="D55" s="9"/>
      <c r="E55" s="9"/>
      <c r="F55" s="10">
        <v>44931</v>
      </c>
      <c r="G55">
        <v>0</v>
      </c>
    </row>
    <row r="56" spans="1:21" x14ac:dyDescent="0.2">
      <c r="A56" s="7">
        <v>44932</v>
      </c>
      <c r="B56">
        <v>0</v>
      </c>
      <c r="D56" s="9"/>
      <c r="E56" s="9"/>
      <c r="F56" s="10">
        <v>44932</v>
      </c>
      <c r="G56">
        <v>0</v>
      </c>
    </row>
    <row r="57" spans="1:21" ht="24" x14ac:dyDescent="0.3">
      <c r="A57" s="7">
        <v>44933</v>
      </c>
      <c r="B57">
        <v>0</v>
      </c>
      <c r="D57" s="9"/>
      <c r="E57" s="9"/>
      <c r="F57" s="10">
        <v>44933</v>
      </c>
      <c r="G57">
        <v>0</v>
      </c>
      <c r="O57" s="16" t="s">
        <v>424</v>
      </c>
      <c r="Q57" s="16" t="s">
        <v>426</v>
      </c>
      <c r="U57" s="16" t="s">
        <v>427</v>
      </c>
    </row>
    <row r="58" spans="1:21" x14ac:dyDescent="0.2">
      <c r="A58" s="7">
        <v>44934</v>
      </c>
      <c r="B58">
        <v>0</v>
      </c>
      <c r="D58" s="9"/>
      <c r="E58" s="9"/>
      <c r="F58" s="10">
        <v>44934</v>
      </c>
      <c r="G58">
        <v>0</v>
      </c>
    </row>
    <row r="59" spans="1:21" ht="19" x14ac:dyDescent="0.25">
      <c r="A59" s="7">
        <v>44935</v>
      </c>
      <c r="B59">
        <v>0</v>
      </c>
      <c r="D59" s="9"/>
      <c r="E59" s="9"/>
      <c r="F59" s="10">
        <v>44935</v>
      </c>
      <c r="G59">
        <v>0</v>
      </c>
      <c r="O59" s="18">
        <f>SUM(H723:H903)/SUM(C723:C903)</f>
        <v>706.08765087125141</v>
      </c>
      <c r="Q59" s="18">
        <f>SUM(C723:C903)</f>
        <v>180.32667051938898</v>
      </c>
      <c r="U59" s="18">
        <f>O59*Q59</f>
        <v>127326.43517646952</v>
      </c>
    </row>
    <row r="60" spans="1:21" x14ac:dyDescent="0.2">
      <c r="A60" s="7">
        <v>44936</v>
      </c>
      <c r="B60">
        <v>0</v>
      </c>
      <c r="D60" s="9"/>
      <c r="E60" s="9"/>
      <c r="F60" s="10">
        <v>44936</v>
      </c>
      <c r="G60">
        <v>0</v>
      </c>
    </row>
    <row r="61" spans="1:21" ht="24" x14ac:dyDescent="0.3">
      <c r="A61" s="7">
        <v>44937</v>
      </c>
      <c r="B61">
        <v>1</v>
      </c>
      <c r="D61" s="9"/>
      <c r="E61" s="9"/>
      <c r="F61" s="10">
        <v>44937</v>
      </c>
      <c r="G61">
        <v>700</v>
      </c>
      <c r="O61" s="16" t="s">
        <v>425</v>
      </c>
    </row>
    <row r="62" spans="1:21" x14ac:dyDescent="0.2">
      <c r="A62" s="7">
        <v>44938</v>
      </c>
      <c r="B62">
        <v>0</v>
      </c>
      <c r="D62" s="9"/>
      <c r="E62" s="9"/>
      <c r="F62" s="10">
        <v>44938</v>
      </c>
      <c r="G62">
        <v>0</v>
      </c>
    </row>
    <row r="63" spans="1:21" ht="19" x14ac:dyDescent="0.25">
      <c r="A63" s="7">
        <v>44939</v>
      </c>
      <c r="B63">
        <v>0</v>
      </c>
      <c r="D63" s="9"/>
      <c r="E63" s="9"/>
      <c r="F63" s="10">
        <v>44939</v>
      </c>
      <c r="G63">
        <v>0</v>
      </c>
      <c r="O63" s="18">
        <f>U59-Assumptions!C4-Assumptions!C6</f>
        <v>114026.43517646952</v>
      </c>
    </row>
    <row r="64" spans="1:21" ht="19" x14ac:dyDescent="0.25">
      <c r="A64" s="7">
        <v>44940</v>
      </c>
      <c r="B64">
        <v>0</v>
      </c>
      <c r="D64" s="9"/>
      <c r="E64" s="9"/>
      <c r="F64" s="10">
        <v>44940</v>
      </c>
      <c r="G64">
        <v>0</v>
      </c>
      <c r="O64" s="17"/>
    </row>
    <row r="65" spans="1:16" ht="24" x14ac:dyDescent="0.3">
      <c r="A65" s="7">
        <v>44941</v>
      </c>
      <c r="B65">
        <v>1</v>
      </c>
      <c r="D65" s="9"/>
      <c r="E65" s="9"/>
      <c r="F65" s="10">
        <v>44941</v>
      </c>
      <c r="G65">
        <v>300</v>
      </c>
      <c r="O65" s="16" t="s">
        <v>432</v>
      </c>
    </row>
    <row r="66" spans="1:16" x14ac:dyDescent="0.2">
      <c r="A66" s="7">
        <v>44942</v>
      </c>
      <c r="B66">
        <v>0</v>
      </c>
      <c r="D66" s="9"/>
      <c r="E66" s="9"/>
      <c r="F66" s="10">
        <v>44942</v>
      </c>
      <c r="G66">
        <v>0</v>
      </c>
    </row>
    <row r="67" spans="1:16" ht="24" x14ac:dyDescent="0.3">
      <c r="A67" s="7">
        <v>44943</v>
      </c>
      <c r="B67">
        <v>1</v>
      </c>
      <c r="D67" s="9"/>
      <c r="E67" s="9"/>
      <c r="F67" s="10">
        <v>44943</v>
      </c>
      <c r="G67">
        <v>450</v>
      </c>
      <c r="O67" s="16" t="s">
        <v>428</v>
      </c>
      <c r="P67" s="19">
        <v>323.88888888888897</v>
      </c>
    </row>
    <row r="68" spans="1:16" ht="24" x14ac:dyDescent="0.3">
      <c r="A68" s="7">
        <v>44944</v>
      </c>
      <c r="B68">
        <v>0</v>
      </c>
      <c r="D68" s="9"/>
      <c r="E68" s="9"/>
      <c r="F68" s="10">
        <v>44944</v>
      </c>
      <c r="G68">
        <v>0</v>
      </c>
      <c r="O68" s="16" t="s">
        <v>431</v>
      </c>
      <c r="P68" s="19">
        <v>180</v>
      </c>
    </row>
    <row r="69" spans="1:16" ht="24" x14ac:dyDescent="0.3">
      <c r="A69" s="7">
        <v>44945</v>
      </c>
      <c r="B69">
        <v>0</v>
      </c>
      <c r="D69" s="9"/>
      <c r="E69" s="9"/>
      <c r="F69" s="10">
        <v>44945</v>
      </c>
      <c r="G69">
        <v>0</v>
      </c>
      <c r="O69" s="16" t="s">
        <v>429</v>
      </c>
      <c r="P69" s="19">
        <v>13300</v>
      </c>
    </row>
    <row r="70" spans="1:16" ht="24" x14ac:dyDescent="0.3">
      <c r="A70" s="7">
        <v>44946</v>
      </c>
      <c r="B70">
        <v>0</v>
      </c>
      <c r="D70" s="9"/>
      <c r="E70" s="9"/>
      <c r="F70" s="10">
        <v>44946</v>
      </c>
      <c r="G70">
        <v>0</v>
      </c>
      <c r="O70" s="16" t="s">
        <v>430</v>
      </c>
      <c r="P70" s="19">
        <f>P67*P68-P69</f>
        <v>45000.000000000015</v>
      </c>
    </row>
    <row r="71" spans="1:16" ht="24" x14ac:dyDescent="0.3">
      <c r="A71" s="7">
        <v>44947</v>
      </c>
      <c r="B71">
        <v>0</v>
      </c>
      <c r="D71" s="9"/>
      <c r="E71" s="9"/>
      <c r="F71" s="10">
        <v>44947</v>
      </c>
      <c r="G71">
        <v>0</v>
      </c>
      <c r="O71" s="16"/>
      <c r="P71" s="18"/>
    </row>
    <row r="72" spans="1:16" ht="24" x14ac:dyDescent="0.3">
      <c r="A72" s="7">
        <v>44948</v>
      </c>
      <c r="B72">
        <v>0</v>
      </c>
      <c r="D72" s="9"/>
      <c r="E72" s="9"/>
      <c r="F72" s="10">
        <v>44948</v>
      </c>
      <c r="G72">
        <v>0</v>
      </c>
      <c r="O72" s="16" t="s">
        <v>433</v>
      </c>
    </row>
    <row r="73" spans="1:16" x14ac:dyDescent="0.2">
      <c r="A73" s="7">
        <v>44949</v>
      </c>
      <c r="B73">
        <v>0</v>
      </c>
      <c r="D73" s="9"/>
      <c r="E73" s="9"/>
      <c r="F73" s="10">
        <v>44949</v>
      </c>
      <c r="G73">
        <v>0</v>
      </c>
    </row>
    <row r="74" spans="1:16" ht="24" x14ac:dyDescent="0.3">
      <c r="A74" s="7">
        <v>44950</v>
      </c>
      <c r="B74">
        <v>0</v>
      </c>
      <c r="D74" s="9"/>
      <c r="E74" s="9"/>
      <c r="F74" s="10">
        <v>44950</v>
      </c>
      <c r="G74">
        <v>0</v>
      </c>
      <c r="O74" s="16" t="s">
        <v>428</v>
      </c>
      <c r="P74" s="19">
        <v>706</v>
      </c>
    </row>
    <row r="75" spans="1:16" ht="24" x14ac:dyDescent="0.3">
      <c r="A75" s="7">
        <v>44951</v>
      </c>
      <c r="B75">
        <v>0</v>
      </c>
      <c r="D75" s="9"/>
      <c r="E75" s="9"/>
      <c r="F75" s="10">
        <v>44951</v>
      </c>
      <c r="G75">
        <v>0</v>
      </c>
      <c r="O75" s="16" t="s">
        <v>431</v>
      </c>
      <c r="P75" s="19">
        <v>82.577903682719551</v>
      </c>
    </row>
    <row r="76" spans="1:16" ht="24" x14ac:dyDescent="0.3">
      <c r="A76" s="7">
        <v>44952</v>
      </c>
      <c r="B76">
        <v>0</v>
      </c>
      <c r="D76" s="9"/>
      <c r="E76" s="9"/>
      <c r="F76" s="10">
        <v>44952</v>
      </c>
      <c r="G76">
        <v>0</v>
      </c>
      <c r="O76" s="16" t="s">
        <v>429</v>
      </c>
      <c r="P76" s="19">
        <v>13300</v>
      </c>
    </row>
    <row r="77" spans="1:16" ht="24" x14ac:dyDescent="0.3">
      <c r="A77" s="7">
        <v>44953</v>
      </c>
      <c r="B77">
        <v>0</v>
      </c>
      <c r="D77" s="9"/>
      <c r="E77" s="9"/>
      <c r="F77" s="10">
        <v>44953</v>
      </c>
      <c r="G77">
        <v>0</v>
      </c>
      <c r="O77" s="16" t="s">
        <v>430</v>
      </c>
      <c r="P77" s="19">
        <f>P74*P75-P76</f>
        <v>45000</v>
      </c>
    </row>
    <row r="78" spans="1:16" x14ac:dyDescent="0.2">
      <c r="A78" s="7">
        <v>44954</v>
      </c>
      <c r="B78">
        <v>0</v>
      </c>
      <c r="D78" s="9"/>
      <c r="E78" s="9"/>
      <c r="F78" s="10">
        <v>44954</v>
      </c>
      <c r="G78">
        <v>0</v>
      </c>
    </row>
    <row r="79" spans="1:16" x14ac:dyDescent="0.2">
      <c r="A79" s="7">
        <v>44955</v>
      </c>
      <c r="B79">
        <v>0</v>
      </c>
      <c r="D79" s="9"/>
      <c r="E79" s="9"/>
      <c r="F79" s="10">
        <v>44955</v>
      </c>
      <c r="G79">
        <v>0</v>
      </c>
    </row>
    <row r="80" spans="1:16" x14ac:dyDescent="0.2">
      <c r="A80" s="7">
        <v>44956</v>
      </c>
      <c r="B80">
        <v>0</v>
      </c>
      <c r="D80" s="9"/>
      <c r="E80" s="9"/>
      <c r="F80" s="10">
        <v>44956</v>
      </c>
      <c r="G80">
        <v>0</v>
      </c>
    </row>
    <row r="81" spans="1:7" x14ac:dyDescent="0.2">
      <c r="A81" s="7">
        <v>44957</v>
      </c>
      <c r="B81">
        <v>0</v>
      </c>
      <c r="D81" s="9"/>
      <c r="E81" s="9"/>
      <c r="F81" s="10">
        <v>44957</v>
      </c>
      <c r="G81">
        <v>0</v>
      </c>
    </row>
    <row r="82" spans="1:7" x14ac:dyDescent="0.2">
      <c r="A82" s="7">
        <v>44958</v>
      </c>
      <c r="B82">
        <v>0</v>
      </c>
      <c r="D82" s="9"/>
      <c r="E82" s="9"/>
      <c r="F82" s="10">
        <v>44958</v>
      </c>
      <c r="G82">
        <v>0</v>
      </c>
    </row>
    <row r="83" spans="1:7" x14ac:dyDescent="0.2">
      <c r="A83" s="7">
        <v>44959</v>
      </c>
      <c r="B83">
        <v>0</v>
      </c>
      <c r="D83" s="9"/>
      <c r="E83" s="9"/>
      <c r="F83" s="10">
        <v>44959</v>
      </c>
      <c r="G83">
        <v>0</v>
      </c>
    </row>
    <row r="84" spans="1:7" x14ac:dyDescent="0.2">
      <c r="A84" s="7">
        <v>44960</v>
      </c>
      <c r="B84">
        <v>0</v>
      </c>
      <c r="D84" s="9"/>
      <c r="E84" s="9"/>
      <c r="F84" s="10">
        <v>44960</v>
      </c>
      <c r="G84">
        <v>0</v>
      </c>
    </row>
    <row r="85" spans="1:7" x14ac:dyDescent="0.2">
      <c r="A85" s="7">
        <v>44961</v>
      </c>
      <c r="B85">
        <v>0</v>
      </c>
      <c r="D85" s="9"/>
      <c r="E85" s="9"/>
      <c r="F85" s="10">
        <v>44961</v>
      </c>
      <c r="G85">
        <v>0</v>
      </c>
    </row>
    <row r="86" spans="1:7" x14ac:dyDescent="0.2">
      <c r="A86" s="7">
        <v>44962</v>
      </c>
      <c r="B86">
        <v>1</v>
      </c>
      <c r="D86" s="9"/>
      <c r="E86" s="9"/>
      <c r="F86" s="10">
        <v>44962</v>
      </c>
      <c r="G86">
        <v>700</v>
      </c>
    </row>
    <row r="87" spans="1:7" x14ac:dyDescent="0.2">
      <c r="A87" s="7">
        <v>44963</v>
      </c>
      <c r="B87">
        <v>0</v>
      </c>
      <c r="D87" s="9"/>
      <c r="E87" s="9"/>
      <c r="F87" s="10">
        <v>44963</v>
      </c>
      <c r="G87">
        <v>0</v>
      </c>
    </row>
    <row r="88" spans="1:7" x14ac:dyDescent="0.2">
      <c r="A88" s="7">
        <v>44964</v>
      </c>
      <c r="B88">
        <v>0</v>
      </c>
      <c r="D88" s="9"/>
      <c r="E88" s="9"/>
      <c r="F88" s="10">
        <v>44964</v>
      </c>
      <c r="G88">
        <v>0</v>
      </c>
    </row>
    <row r="89" spans="1:7" x14ac:dyDescent="0.2">
      <c r="A89" s="7">
        <v>44965</v>
      </c>
      <c r="B89">
        <v>0</v>
      </c>
      <c r="D89" s="9"/>
      <c r="E89" s="9"/>
      <c r="F89" s="10">
        <v>44965</v>
      </c>
      <c r="G89">
        <v>0</v>
      </c>
    </row>
    <row r="90" spans="1:7" x14ac:dyDescent="0.2">
      <c r="A90" s="7">
        <v>44966</v>
      </c>
      <c r="B90">
        <v>1</v>
      </c>
      <c r="D90" s="9"/>
      <c r="E90" s="9"/>
      <c r="F90" s="10">
        <v>44966</v>
      </c>
      <c r="G90">
        <v>300</v>
      </c>
    </row>
    <row r="91" spans="1:7" x14ac:dyDescent="0.2">
      <c r="A91" s="7">
        <v>44967</v>
      </c>
      <c r="B91">
        <v>0</v>
      </c>
      <c r="D91" s="9"/>
      <c r="E91" s="9"/>
      <c r="F91" s="10">
        <v>44967</v>
      </c>
      <c r="G91">
        <v>0</v>
      </c>
    </row>
    <row r="92" spans="1:7" x14ac:dyDescent="0.2">
      <c r="A92" s="7">
        <v>44968</v>
      </c>
      <c r="B92">
        <v>0</v>
      </c>
      <c r="D92" s="9"/>
      <c r="E92" s="9"/>
      <c r="F92" s="10">
        <v>44968</v>
      </c>
      <c r="G92">
        <v>0</v>
      </c>
    </row>
    <row r="93" spans="1:7" x14ac:dyDescent="0.2">
      <c r="A93" s="7">
        <v>44969</v>
      </c>
      <c r="B93">
        <v>0</v>
      </c>
      <c r="D93" s="9"/>
      <c r="E93" s="9"/>
      <c r="F93" s="10">
        <v>44969</v>
      </c>
      <c r="G93">
        <v>0</v>
      </c>
    </row>
    <row r="94" spans="1:7" x14ac:dyDescent="0.2">
      <c r="A94" s="7">
        <v>44970</v>
      </c>
      <c r="B94">
        <v>0</v>
      </c>
      <c r="D94" s="9"/>
      <c r="E94" s="9"/>
      <c r="F94" s="10">
        <v>44970</v>
      </c>
      <c r="G94">
        <v>0</v>
      </c>
    </row>
    <row r="95" spans="1:7" x14ac:dyDescent="0.2">
      <c r="A95" s="7">
        <v>44971</v>
      </c>
      <c r="B95">
        <v>1</v>
      </c>
      <c r="D95" s="9"/>
      <c r="E95" s="9"/>
      <c r="F95" s="10">
        <v>44971</v>
      </c>
      <c r="G95">
        <v>450</v>
      </c>
    </row>
    <row r="96" spans="1:7" x14ac:dyDescent="0.2">
      <c r="A96" s="7">
        <v>44972</v>
      </c>
      <c r="B96">
        <v>0</v>
      </c>
      <c r="D96" s="9"/>
      <c r="E96" s="9"/>
      <c r="F96" s="10">
        <v>44972</v>
      </c>
      <c r="G96">
        <v>0</v>
      </c>
    </row>
    <row r="97" spans="1:7" x14ac:dyDescent="0.2">
      <c r="A97" s="7">
        <v>44973</v>
      </c>
      <c r="B97">
        <v>0</v>
      </c>
      <c r="D97" s="9"/>
      <c r="E97" s="9"/>
      <c r="F97" s="10">
        <v>44973</v>
      </c>
      <c r="G97">
        <v>0</v>
      </c>
    </row>
    <row r="98" spans="1:7" x14ac:dyDescent="0.2">
      <c r="A98" s="7">
        <v>44974</v>
      </c>
      <c r="B98">
        <v>0</v>
      </c>
      <c r="D98" s="9"/>
      <c r="E98" s="9"/>
      <c r="F98" s="10">
        <v>44974</v>
      </c>
      <c r="G98">
        <v>0</v>
      </c>
    </row>
    <row r="99" spans="1:7" x14ac:dyDescent="0.2">
      <c r="A99" s="7">
        <v>44975</v>
      </c>
      <c r="B99">
        <v>1</v>
      </c>
      <c r="D99" s="9"/>
      <c r="E99" s="9"/>
      <c r="F99" s="10">
        <v>44975</v>
      </c>
      <c r="G99">
        <v>700</v>
      </c>
    </row>
    <row r="100" spans="1:7" x14ac:dyDescent="0.2">
      <c r="A100" s="7">
        <v>44976</v>
      </c>
      <c r="B100">
        <v>1</v>
      </c>
      <c r="D100" s="9"/>
      <c r="E100" s="9"/>
      <c r="F100" s="10">
        <v>44976</v>
      </c>
      <c r="G100">
        <v>300</v>
      </c>
    </row>
    <row r="101" spans="1:7" x14ac:dyDescent="0.2">
      <c r="A101" s="7">
        <v>44977</v>
      </c>
      <c r="B101">
        <v>0</v>
      </c>
      <c r="D101" s="9"/>
      <c r="E101" s="9"/>
      <c r="F101" s="10">
        <v>44977</v>
      </c>
      <c r="G101">
        <v>0</v>
      </c>
    </row>
    <row r="102" spans="1:7" x14ac:dyDescent="0.2">
      <c r="A102" s="7">
        <v>44978</v>
      </c>
      <c r="B102">
        <v>1</v>
      </c>
      <c r="D102" s="9"/>
      <c r="E102" s="9"/>
      <c r="F102" s="10">
        <v>44978</v>
      </c>
      <c r="G102">
        <v>450</v>
      </c>
    </row>
    <row r="103" spans="1:7" x14ac:dyDescent="0.2">
      <c r="A103" s="7">
        <v>44979</v>
      </c>
      <c r="B103">
        <v>1</v>
      </c>
      <c r="D103" s="9"/>
      <c r="E103" s="9"/>
      <c r="F103" s="10">
        <v>44979</v>
      </c>
      <c r="G103">
        <v>700</v>
      </c>
    </row>
    <row r="104" spans="1:7" x14ac:dyDescent="0.2">
      <c r="A104" s="7">
        <v>44980</v>
      </c>
      <c r="B104">
        <v>0</v>
      </c>
      <c r="D104" s="9"/>
      <c r="E104" s="9"/>
      <c r="F104" s="10">
        <v>44980</v>
      </c>
      <c r="G104">
        <v>0</v>
      </c>
    </row>
    <row r="105" spans="1:7" x14ac:dyDescent="0.2">
      <c r="A105" s="7">
        <v>44981</v>
      </c>
      <c r="B105">
        <v>0</v>
      </c>
      <c r="D105" s="9"/>
      <c r="E105" s="9"/>
      <c r="F105" s="10">
        <v>44981</v>
      </c>
      <c r="G105">
        <v>0</v>
      </c>
    </row>
    <row r="106" spans="1:7" x14ac:dyDescent="0.2">
      <c r="A106" s="7">
        <v>44982</v>
      </c>
      <c r="B106">
        <v>1</v>
      </c>
      <c r="D106" s="9"/>
      <c r="E106" s="9"/>
      <c r="F106" s="10">
        <v>44982</v>
      </c>
      <c r="G106">
        <v>300</v>
      </c>
    </row>
    <row r="107" spans="1:7" x14ac:dyDescent="0.2">
      <c r="A107" s="7">
        <v>44983</v>
      </c>
      <c r="B107">
        <v>0</v>
      </c>
      <c r="D107" s="9"/>
      <c r="E107" s="9"/>
      <c r="F107" s="10">
        <v>44983</v>
      </c>
      <c r="G107">
        <v>0</v>
      </c>
    </row>
    <row r="108" spans="1:7" x14ac:dyDescent="0.2">
      <c r="A108" s="7">
        <v>44984</v>
      </c>
      <c r="B108">
        <v>0</v>
      </c>
      <c r="D108" s="9"/>
      <c r="E108" s="9"/>
      <c r="F108" s="10">
        <v>44984</v>
      </c>
      <c r="G108">
        <v>0</v>
      </c>
    </row>
    <row r="109" spans="1:7" x14ac:dyDescent="0.2">
      <c r="A109" s="7">
        <v>44985</v>
      </c>
      <c r="B109">
        <v>0</v>
      </c>
      <c r="D109" s="9"/>
      <c r="E109" s="9"/>
      <c r="F109" s="10">
        <v>44985</v>
      </c>
      <c r="G109">
        <v>0</v>
      </c>
    </row>
    <row r="110" spans="1:7" x14ac:dyDescent="0.2">
      <c r="A110" s="7">
        <v>44986</v>
      </c>
      <c r="B110">
        <v>0</v>
      </c>
      <c r="D110" s="9"/>
      <c r="E110" s="9"/>
      <c r="F110" s="10">
        <v>44986</v>
      </c>
      <c r="G110">
        <v>0</v>
      </c>
    </row>
    <row r="111" spans="1:7" x14ac:dyDescent="0.2">
      <c r="A111" s="7">
        <v>44987</v>
      </c>
      <c r="B111">
        <v>0</v>
      </c>
      <c r="D111" s="9"/>
      <c r="E111" s="9"/>
      <c r="F111" s="10">
        <v>44987</v>
      </c>
      <c r="G111">
        <v>0</v>
      </c>
    </row>
    <row r="112" spans="1:7" x14ac:dyDescent="0.2">
      <c r="A112" s="7">
        <v>44988</v>
      </c>
      <c r="B112">
        <v>0</v>
      </c>
      <c r="D112" s="9"/>
      <c r="E112" s="9"/>
      <c r="F112" s="10">
        <v>44988</v>
      </c>
      <c r="G112">
        <v>0</v>
      </c>
    </row>
    <row r="113" spans="1:7" x14ac:dyDescent="0.2">
      <c r="A113" s="7">
        <v>44989</v>
      </c>
      <c r="B113">
        <v>0</v>
      </c>
      <c r="D113" s="9"/>
      <c r="E113" s="9"/>
      <c r="F113" s="10">
        <v>44989</v>
      </c>
      <c r="G113">
        <v>0</v>
      </c>
    </row>
    <row r="114" spans="1:7" x14ac:dyDescent="0.2">
      <c r="A114" s="7">
        <v>44990</v>
      </c>
      <c r="B114">
        <v>0</v>
      </c>
      <c r="D114" s="9"/>
      <c r="E114" s="9"/>
      <c r="F114" s="10">
        <v>44990</v>
      </c>
      <c r="G114">
        <v>0</v>
      </c>
    </row>
    <row r="115" spans="1:7" x14ac:dyDescent="0.2">
      <c r="A115" s="7">
        <v>44991</v>
      </c>
      <c r="B115">
        <v>0</v>
      </c>
      <c r="D115" s="9"/>
      <c r="E115" s="9"/>
      <c r="F115" s="10">
        <v>44991</v>
      </c>
      <c r="G115">
        <v>0</v>
      </c>
    </row>
    <row r="116" spans="1:7" x14ac:dyDescent="0.2">
      <c r="A116" s="7">
        <v>44992</v>
      </c>
      <c r="B116">
        <v>0</v>
      </c>
      <c r="D116" s="9"/>
      <c r="E116" s="9"/>
      <c r="F116" s="10">
        <v>44992</v>
      </c>
      <c r="G116">
        <v>0</v>
      </c>
    </row>
    <row r="117" spans="1:7" x14ac:dyDescent="0.2">
      <c r="A117" s="7">
        <v>44993</v>
      </c>
      <c r="B117">
        <v>0</v>
      </c>
      <c r="D117" s="9"/>
      <c r="E117" s="9"/>
      <c r="F117" s="10">
        <v>44993</v>
      </c>
      <c r="G117">
        <v>0</v>
      </c>
    </row>
    <row r="118" spans="1:7" x14ac:dyDescent="0.2">
      <c r="A118" s="7">
        <v>44994</v>
      </c>
      <c r="B118">
        <v>0</v>
      </c>
      <c r="D118" s="9"/>
      <c r="E118" s="9"/>
      <c r="F118" s="10">
        <v>44994</v>
      </c>
      <c r="G118">
        <v>0</v>
      </c>
    </row>
    <row r="119" spans="1:7" x14ac:dyDescent="0.2">
      <c r="A119" s="7">
        <v>44995</v>
      </c>
      <c r="B119">
        <v>0</v>
      </c>
      <c r="D119" s="9"/>
      <c r="E119" s="9"/>
      <c r="F119" s="10">
        <v>44995</v>
      </c>
      <c r="G119">
        <v>0</v>
      </c>
    </row>
    <row r="120" spans="1:7" x14ac:dyDescent="0.2">
      <c r="A120" s="7">
        <v>44996</v>
      </c>
      <c r="B120">
        <v>0</v>
      </c>
      <c r="D120" s="9"/>
      <c r="E120" s="9"/>
      <c r="F120" s="10">
        <v>44996</v>
      </c>
      <c r="G120">
        <v>0</v>
      </c>
    </row>
    <row r="121" spans="1:7" x14ac:dyDescent="0.2">
      <c r="A121" s="7">
        <v>44997</v>
      </c>
      <c r="B121">
        <v>0</v>
      </c>
      <c r="D121" s="9"/>
      <c r="E121" s="9"/>
      <c r="F121" s="10">
        <v>44997</v>
      </c>
      <c r="G121">
        <v>0</v>
      </c>
    </row>
    <row r="122" spans="1:7" x14ac:dyDescent="0.2">
      <c r="A122" s="7">
        <v>44998</v>
      </c>
      <c r="B122">
        <v>0</v>
      </c>
      <c r="D122" s="9"/>
      <c r="E122" s="9"/>
      <c r="F122" s="10">
        <v>44998</v>
      </c>
      <c r="G122">
        <v>0</v>
      </c>
    </row>
    <row r="123" spans="1:7" x14ac:dyDescent="0.2">
      <c r="A123" s="7">
        <v>44999</v>
      </c>
      <c r="B123">
        <v>1</v>
      </c>
      <c r="D123" s="9"/>
      <c r="E123" s="9"/>
      <c r="F123" s="10">
        <v>44999</v>
      </c>
      <c r="G123">
        <v>450</v>
      </c>
    </row>
    <row r="124" spans="1:7" x14ac:dyDescent="0.2">
      <c r="A124" s="7">
        <v>45000</v>
      </c>
      <c r="B124">
        <v>0</v>
      </c>
      <c r="D124" s="9"/>
      <c r="E124" s="9"/>
      <c r="F124" s="10">
        <v>45000</v>
      </c>
      <c r="G124">
        <v>0</v>
      </c>
    </row>
    <row r="125" spans="1:7" x14ac:dyDescent="0.2">
      <c r="A125" s="7">
        <v>45001</v>
      </c>
      <c r="B125">
        <v>0</v>
      </c>
      <c r="D125" s="9"/>
      <c r="E125" s="9"/>
      <c r="F125" s="10">
        <v>45001</v>
      </c>
      <c r="G125">
        <v>0</v>
      </c>
    </row>
    <row r="126" spans="1:7" x14ac:dyDescent="0.2">
      <c r="A126" s="7">
        <v>45002</v>
      </c>
      <c r="B126">
        <v>0</v>
      </c>
      <c r="D126" s="9"/>
      <c r="E126" s="9"/>
      <c r="F126" s="10">
        <v>45002</v>
      </c>
      <c r="G126">
        <v>0</v>
      </c>
    </row>
    <row r="127" spans="1:7" x14ac:dyDescent="0.2">
      <c r="A127" s="7">
        <v>45003</v>
      </c>
      <c r="B127">
        <v>0</v>
      </c>
      <c r="D127" s="9"/>
      <c r="E127" s="9"/>
      <c r="F127" s="10">
        <v>45003</v>
      </c>
      <c r="G127">
        <v>0</v>
      </c>
    </row>
    <row r="128" spans="1:7" x14ac:dyDescent="0.2">
      <c r="A128" s="7">
        <v>45004</v>
      </c>
      <c r="B128">
        <v>0</v>
      </c>
      <c r="D128" s="9"/>
      <c r="E128" s="9"/>
      <c r="F128" s="10">
        <v>45004</v>
      </c>
      <c r="G128">
        <v>0</v>
      </c>
    </row>
    <row r="129" spans="1:7" x14ac:dyDescent="0.2">
      <c r="A129" s="7">
        <v>45005</v>
      </c>
      <c r="B129">
        <v>0</v>
      </c>
      <c r="D129" s="9"/>
      <c r="E129" s="9"/>
      <c r="F129" s="10">
        <v>45005</v>
      </c>
      <c r="G129">
        <v>0</v>
      </c>
    </row>
    <row r="130" spans="1:7" x14ac:dyDescent="0.2">
      <c r="A130" s="7">
        <v>45006</v>
      </c>
      <c r="B130">
        <v>0</v>
      </c>
      <c r="D130" s="9"/>
      <c r="E130" s="9"/>
      <c r="F130" s="10">
        <v>45006</v>
      </c>
      <c r="G130">
        <v>0</v>
      </c>
    </row>
    <row r="131" spans="1:7" x14ac:dyDescent="0.2">
      <c r="A131" s="7">
        <v>45007</v>
      </c>
      <c r="B131">
        <v>0</v>
      </c>
      <c r="D131" s="9"/>
      <c r="E131" s="9"/>
      <c r="F131" s="10">
        <v>45007</v>
      </c>
      <c r="G131">
        <v>0</v>
      </c>
    </row>
    <row r="132" spans="1:7" x14ac:dyDescent="0.2">
      <c r="A132" s="7">
        <v>45008</v>
      </c>
      <c r="B132">
        <v>0</v>
      </c>
      <c r="D132" s="9"/>
      <c r="E132" s="9"/>
      <c r="F132" s="10">
        <v>45008</v>
      </c>
      <c r="G132">
        <v>0</v>
      </c>
    </row>
    <row r="133" spans="1:7" x14ac:dyDescent="0.2">
      <c r="A133" s="7">
        <v>45009</v>
      </c>
      <c r="B133">
        <v>0</v>
      </c>
      <c r="D133" s="9"/>
      <c r="E133" s="9"/>
      <c r="F133" s="10">
        <v>45009</v>
      </c>
      <c r="G133">
        <v>0</v>
      </c>
    </row>
    <row r="134" spans="1:7" x14ac:dyDescent="0.2">
      <c r="A134" s="7">
        <v>45010</v>
      </c>
      <c r="B134">
        <v>0</v>
      </c>
      <c r="D134" s="9"/>
      <c r="E134" s="9"/>
      <c r="F134" s="10">
        <v>45010</v>
      </c>
      <c r="G134">
        <v>0</v>
      </c>
    </row>
    <row r="135" spans="1:7" x14ac:dyDescent="0.2">
      <c r="A135" s="7">
        <v>45011</v>
      </c>
      <c r="B135">
        <v>0</v>
      </c>
      <c r="D135" s="9"/>
      <c r="E135" s="9"/>
      <c r="F135" s="10">
        <v>45011</v>
      </c>
      <c r="G135">
        <v>0</v>
      </c>
    </row>
    <row r="136" spans="1:7" x14ac:dyDescent="0.2">
      <c r="A136" s="7">
        <v>45012</v>
      </c>
      <c r="B136">
        <v>0</v>
      </c>
      <c r="D136" s="9"/>
      <c r="E136" s="9"/>
      <c r="F136" s="10">
        <v>45012</v>
      </c>
      <c r="G136">
        <v>0</v>
      </c>
    </row>
    <row r="137" spans="1:7" x14ac:dyDescent="0.2">
      <c r="A137" s="7">
        <v>45013</v>
      </c>
      <c r="B137">
        <v>0</v>
      </c>
      <c r="D137" s="9"/>
      <c r="E137" s="9"/>
      <c r="F137" s="10">
        <v>45013</v>
      </c>
      <c r="G137">
        <v>0</v>
      </c>
    </row>
    <row r="138" spans="1:7" x14ac:dyDescent="0.2">
      <c r="A138" s="7">
        <v>45014</v>
      </c>
      <c r="B138">
        <v>0</v>
      </c>
      <c r="D138" s="9"/>
      <c r="E138" s="9"/>
      <c r="F138" s="10">
        <v>45014</v>
      </c>
      <c r="G138">
        <v>0</v>
      </c>
    </row>
    <row r="139" spans="1:7" x14ac:dyDescent="0.2">
      <c r="A139" s="7">
        <v>45015</v>
      </c>
      <c r="B139">
        <v>0</v>
      </c>
      <c r="D139" s="9"/>
      <c r="E139" s="9"/>
      <c r="F139" s="10">
        <v>45015</v>
      </c>
      <c r="G139">
        <v>0</v>
      </c>
    </row>
    <row r="140" spans="1:7" x14ac:dyDescent="0.2">
      <c r="A140" s="7">
        <v>45016</v>
      </c>
      <c r="B140">
        <v>0</v>
      </c>
      <c r="D140" s="9"/>
      <c r="E140" s="9"/>
      <c r="F140" s="10">
        <v>45016</v>
      </c>
      <c r="G140">
        <v>0</v>
      </c>
    </row>
    <row r="141" spans="1:7" x14ac:dyDescent="0.2">
      <c r="A141" s="7">
        <v>45017</v>
      </c>
      <c r="B141">
        <v>0</v>
      </c>
      <c r="D141" s="9"/>
      <c r="E141" s="9"/>
      <c r="F141" s="10">
        <v>45017</v>
      </c>
      <c r="G141">
        <v>0</v>
      </c>
    </row>
    <row r="142" spans="1:7" x14ac:dyDescent="0.2">
      <c r="A142" s="7">
        <v>45018</v>
      </c>
      <c r="B142">
        <v>0</v>
      </c>
      <c r="D142" s="9"/>
      <c r="E142" s="9"/>
      <c r="F142" s="10">
        <v>45018</v>
      </c>
      <c r="G142">
        <v>0</v>
      </c>
    </row>
    <row r="143" spans="1:7" x14ac:dyDescent="0.2">
      <c r="A143" s="7">
        <v>45019</v>
      </c>
      <c r="B143">
        <v>1</v>
      </c>
      <c r="D143" s="9"/>
      <c r="E143" s="9"/>
      <c r="F143" s="10">
        <v>45019</v>
      </c>
      <c r="G143">
        <v>700</v>
      </c>
    </row>
    <row r="144" spans="1:7" x14ac:dyDescent="0.2">
      <c r="A144" s="7">
        <v>45020</v>
      </c>
      <c r="B144">
        <v>0</v>
      </c>
      <c r="D144" s="9"/>
      <c r="E144" s="9"/>
      <c r="F144" s="10">
        <v>45020</v>
      </c>
      <c r="G144">
        <v>0</v>
      </c>
    </row>
    <row r="145" spans="1:7" x14ac:dyDescent="0.2">
      <c r="A145" s="7">
        <v>45021</v>
      </c>
      <c r="B145">
        <v>0</v>
      </c>
      <c r="D145" s="9"/>
      <c r="E145" s="9"/>
      <c r="F145" s="10">
        <v>45021</v>
      </c>
      <c r="G145">
        <v>0</v>
      </c>
    </row>
    <row r="146" spans="1:7" x14ac:dyDescent="0.2">
      <c r="A146" s="7">
        <v>45022</v>
      </c>
      <c r="B146">
        <v>0</v>
      </c>
      <c r="D146" s="9"/>
      <c r="E146" s="9"/>
      <c r="F146" s="10">
        <v>45022</v>
      </c>
      <c r="G146">
        <v>0</v>
      </c>
    </row>
    <row r="147" spans="1:7" x14ac:dyDescent="0.2">
      <c r="A147" s="7">
        <v>45023</v>
      </c>
      <c r="B147">
        <v>0</v>
      </c>
      <c r="D147" s="9"/>
      <c r="E147" s="9"/>
      <c r="F147" s="10">
        <v>45023</v>
      </c>
      <c r="G147">
        <v>0</v>
      </c>
    </row>
    <row r="148" spans="1:7" x14ac:dyDescent="0.2">
      <c r="A148" s="7">
        <v>45024</v>
      </c>
      <c r="B148">
        <v>0</v>
      </c>
      <c r="D148" s="9"/>
      <c r="E148" s="9"/>
      <c r="F148" s="10">
        <v>45024</v>
      </c>
      <c r="G148">
        <v>0</v>
      </c>
    </row>
    <row r="149" spans="1:7" x14ac:dyDescent="0.2">
      <c r="A149" s="7">
        <v>45025</v>
      </c>
      <c r="B149">
        <v>0</v>
      </c>
      <c r="D149" s="9"/>
      <c r="E149" s="9"/>
      <c r="F149" s="10">
        <v>45025</v>
      </c>
      <c r="G149">
        <v>0</v>
      </c>
    </row>
    <row r="150" spans="1:7" x14ac:dyDescent="0.2">
      <c r="A150" s="7">
        <v>45026</v>
      </c>
      <c r="B150">
        <v>1</v>
      </c>
      <c r="D150" s="9"/>
      <c r="E150" s="9"/>
      <c r="F150" s="10">
        <v>45026</v>
      </c>
      <c r="G150">
        <v>300</v>
      </c>
    </row>
    <row r="151" spans="1:7" x14ac:dyDescent="0.2">
      <c r="A151" s="7">
        <v>45027</v>
      </c>
      <c r="B151">
        <v>0</v>
      </c>
      <c r="D151" s="9"/>
      <c r="E151" s="9"/>
      <c r="F151" s="10">
        <v>45027</v>
      </c>
      <c r="G151">
        <v>0</v>
      </c>
    </row>
    <row r="152" spans="1:7" x14ac:dyDescent="0.2">
      <c r="A152" s="7">
        <v>45028</v>
      </c>
      <c r="B152">
        <v>1</v>
      </c>
      <c r="D152" s="9"/>
      <c r="E152" s="9"/>
      <c r="F152" s="10">
        <v>45028</v>
      </c>
      <c r="G152">
        <v>450</v>
      </c>
    </row>
    <row r="153" spans="1:7" x14ac:dyDescent="0.2">
      <c r="A153" s="7">
        <v>45029</v>
      </c>
      <c r="B153">
        <v>0</v>
      </c>
      <c r="D153" s="9"/>
      <c r="E153" s="9"/>
      <c r="F153" s="10">
        <v>45029</v>
      </c>
      <c r="G153">
        <v>0</v>
      </c>
    </row>
    <row r="154" spans="1:7" x14ac:dyDescent="0.2">
      <c r="A154" s="7">
        <v>45030</v>
      </c>
      <c r="B154">
        <v>0</v>
      </c>
      <c r="D154" s="9"/>
      <c r="E154" s="9"/>
      <c r="F154" s="10">
        <v>45030</v>
      </c>
      <c r="G154">
        <v>0</v>
      </c>
    </row>
    <row r="155" spans="1:7" x14ac:dyDescent="0.2">
      <c r="A155" s="7">
        <v>45031</v>
      </c>
      <c r="B155">
        <v>0</v>
      </c>
      <c r="D155" s="9"/>
      <c r="E155" s="9"/>
      <c r="F155" s="10">
        <v>45031</v>
      </c>
      <c r="G155">
        <v>0</v>
      </c>
    </row>
    <row r="156" spans="1:7" x14ac:dyDescent="0.2">
      <c r="A156" s="7">
        <v>45032</v>
      </c>
      <c r="B156">
        <v>0</v>
      </c>
      <c r="D156" s="9"/>
      <c r="E156" s="9"/>
      <c r="F156" s="10">
        <v>45032</v>
      </c>
      <c r="G156">
        <v>0</v>
      </c>
    </row>
    <row r="157" spans="1:7" x14ac:dyDescent="0.2">
      <c r="A157" s="7">
        <v>45033</v>
      </c>
      <c r="B157">
        <v>0</v>
      </c>
      <c r="D157" s="9"/>
      <c r="E157" s="9"/>
      <c r="F157" s="10">
        <v>45033</v>
      </c>
      <c r="G157">
        <v>0</v>
      </c>
    </row>
    <row r="158" spans="1:7" x14ac:dyDescent="0.2">
      <c r="A158" s="7">
        <v>45034</v>
      </c>
      <c r="B158">
        <v>0</v>
      </c>
      <c r="D158" s="9"/>
      <c r="E158" s="9"/>
      <c r="F158" s="10">
        <v>45034</v>
      </c>
      <c r="G158">
        <v>0</v>
      </c>
    </row>
    <row r="159" spans="1:7" x14ac:dyDescent="0.2">
      <c r="A159" s="7">
        <v>45035</v>
      </c>
      <c r="B159">
        <v>0</v>
      </c>
      <c r="D159" s="9"/>
      <c r="E159" s="9"/>
      <c r="F159" s="10">
        <v>45035</v>
      </c>
      <c r="G159">
        <v>0</v>
      </c>
    </row>
    <row r="160" spans="1:7" x14ac:dyDescent="0.2">
      <c r="A160" s="7">
        <v>45036</v>
      </c>
      <c r="B160">
        <v>1</v>
      </c>
      <c r="D160" s="9"/>
      <c r="E160" s="9"/>
      <c r="F160" s="10">
        <v>45036</v>
      </c>
      <c r="G160">
        <v>700</v>
      </c>
    </row>
    <row r="161" spans="1:7" x14ac:dyDescent="0.2">
      <c r="A161" s="7">
        <v>45037</v>
      </c>
      <c r="B161">
        <v>0</v>
      </c>
      <c r="D161" s="9"/>
      <c r="E161" s="9"/>
      <c r="F161" s="10">
        <v>45037</v>
      </c>
      <c r="G161">
        <v>0</v>
      </c>
    </row>
    <row r="162" spans="1:7" x14ac:dyDescent="0.2">
      <c r="A162" s="7">
        <v>45038</v>
      </c>
      <c r="B162">
        <v>0</v>
      </c>
      <c r="D162" s="9"/>
      <c r="E162" s="9"/>
      <c r="F162" s="10">
        <v>45038</v>
      </c>
      <c r="G162">
        <v>0</v>
      </c>
    </row>
    <row r="163" spans="1:7" x14ac:dyDescent="0.2">
      <c r="A163" s="7">
        <v>45039</v>
      </c>
      <c r="B163">
        <v>0</v>
      </c>
      <c r="D163" s="9"/>
      <c r="E163" s="9"/>
      <c r="F163" s="10">
        <v>45039</v>
      </c>
      <c r="G163">
        <v>0</v>
      </c>
    </row>
    <row r="164" spans="1:7" x14ac:dyDescent="0.2">
      <c r="A164" s="7">
        <v>45040</v>
      </c>
      <c r="B164">
        <v>1</v>
      </c>
      <c r="D164" s="9"/>
      <c r="E164" s="9"/>
      <c r="F164" s="10">
        <v>45040</v>
      </c>
      <c r="G164">
        <v>300</v>
      </c>
    </row>
    <row r="165" spans="1:7" x14ac:dyDescent="0.2">
      <c r="A165" s="7">
        <v>45041</v>
      </c>
      <c r="B165">
        <v>1</v>
      </c>
      <c r="D165" s="9"/>
      <c r="E165" s="9"/>
      <c r="F165" s="10">
        <v>45041</v>
      </c>
      <c r="G165">
        <v>450</v>
      </c>
    </row>
    <row r="166" spans="1:7" x14ac:dyDescent="0.2">
      <c r="A166" s="7">
        <v>45042</v>
      </c>
      <c r="B166">
        <v>0</v>
      </c>
      <c r="D166" s="9"/>
      <c r="E166" s="9"/>
      <c r="F166" s="10">
        <v>45042</v>
      </c>
      <c r="G166">
        <v>0</v>
      </c>
    </row>
    <row r="167" spans="1:7" x14ac:dyDescent="0.2">
      <c r="A167" s="7">
        <v>45043</v>
      </c>
      <c r="B167">
        <v>0</v>
      </c>
      <c r="D167" s="9"/>
      <c r="E167" s="9"/>
      <c r="F167" s="10">
        <v>45043</v>
      </c>
      <c r="G167">
        <v>0</v>
      </c>
    </row>
    <row r="168" spans="1:7" x14ac:dyDescent="0.2">
      <c r="A168" s="7">
        <v>45044</v>
      </c>
      <c r="B168">
        <v>0</v>
      </c>
      <c r="D168" s="9"/>
      <c r="E168" s="9"/>
      <c r="F168" s="10">
        <v>45044</v>
      </c>
      <c r="G168">
        <v>0</v>
      </c>
    </row>
    <row r="169" spans="1:7" x14ac:dyDescent="0.2">
      <c r="A169" s="7">
        <v>45045</v>
      </c>
      <c r="B169">
        <v>0</v>
      </c>
      <c r="D169" s="9"/>
      <c r="E169" s="9"/>
      <c r="F169" s="10">
        <v>45045</v>
      </c>
      <c r="G169">
        <v>0</v>
      </c>
    </row>
    <row r="170" spans="1:7" x14ac:dyDescent="0.2">
      <c r="A170" s="7">
        <v>45046</v>
      </c>
      <c r="B170">
        <v>0</v>
      </c>
      <c r="D170" s="9"/>
      <c r="E170" s="9"/>
      <c r="F170" s="10">
        <v>45046</v>
      </c>
      <c r="G170">
        <v>0</v>
      </c>
    </row>
    <row r="171" spans="1:7" x14ac:dyDescent="0.2">
      <c r="A171" s="7">
        <v>45047</v>
      </c>
      <c r="B171">
        <v>0</v>
      </c>
      <c r="D171" s="9"/>
      <c r="E171" s="9"/>
      <c r="F171" s="10">
        <v>45047</v>
      </c>
      <c r="G171">
        <v>0</v>
      </c>
    </row>
    <row r="172" spans="1:7" x14ac:dyDescent="0.2">
      <c r="A172" s="7">
        <v>45048</v>
      </c>
      <c r="B172">
        <v>1</v>
      </c>
      <c r="D172" s="9"/>
      <c r="E172" s="9"/>
      <c r="F172" s="10">
        <v>45048</v>
      </c>
      <c r="G172">
        <v>700</v>
      </c>
    </row>
    <row r="173" spans="1:7" x14ac:dyDescent="0.2">
      <c r="A173" s="7">
        <v>45049</v>
      </c>
      <c r="B173">
        <v>0</v>
      </c>
      <c r="D173" s="9"/>
      <c r="E173" s="9"/>
      <c r="F173" s="10">
        <v>45049</v>
      </c>
      <c r="G173">
        <v>0</v>
      </c>
    </row>
    <row r="174" spans="1:7" x14ac:dyDescent="0.2">
      <c r="A174" s="7">
        <v>45050</v>
      </c>
      <c r="B174">
        <v>0</v>
      </c>
      <c r="D174" s="9"/>
      <c r="E174" s="9"/>
      <c r="F174" s="10">
        <v>45050</v>
      </c>
      <c r="G174">
        <v>0</v>
      </c>
    </row>
    <row r="175" spans="1:7" x14ac:dyDescent="0.2">
      <c r="A175" s="7">
        <v>45051</v>
      </c>
      <c r="B175">
        <v>0</v>
      </c>
      <c r="D175" s="9"/>
      <c r="E175" s="9"/>
      <c r="F175" s="10">
        <v>45051</v>
      </c>
      <c r="G175">
        <v>0</v>
      </c>
    </row>
    <row r="176" spans="1:7" x14ac:dyDescent="0.2">
      <c r="A176" s="7">
        <v>45052</v>
      </c>
      <c r="B176">
        <v>0</v>
      </c>
      <c r="D176" s="9"/>
      <c r="E176" s="9"/>
      <c r="F176" s="10">
        <v>45052</v>
      </c>
      <c r="G176">
        <v>0</v>
      </c>
    </row>
    <row r="177" spans="1:7" x14ac:dyDescent="0.2">
      <c r="A177" s="7">
        <v>45053</v>
      </c>
      <c r="B177">
        <v>0</v>
      </c>
      <c r="D177" s="9"/>
      <c r="E177" s="9"/>
      <c r="F177" s="10">
        <v>45053</v>
      </c>
      <c r="G177">
        <v>0</v>
      </c>
    </row>
    <row r="178" spans="1:7" x14ac:dyDescent="0.2">
      <c r="A178" s="7">
        <v>45054</v>
      </c>
      <c r="B178">
        <v>0</v>
      </c>
      <c r="D178" s="9"/>
      <c r="E178" s="9"/>
      <c r="F178" s="10">
        <v>45054</v>
      </c>
      <c r="G178">
        <v>0</v>
      </c>
    </row>
    <row r="179" spans="1:7" x14ac:dyDescent="0.2">
      <c r="A179" s="7">
        <v>45055</v>
      </c>
      <c r="B179">
        <v>0</v>
      </c>
      <c r="D179" s="9"/>
      <c r="E179" s="9"/>
      <c r="F179" s="10">
        <v>45055</v>
      </c>
      <c r="G179">
        <v>0</v>
      </c>
    </row>
    <row r="180" spans="1:7" x14ac:dyDescent="0.2">
      <c r="A180" s="7">
        <v>45056</v>
      </c>
      <c r="B180">
        <v>0</v>
      </c>
      <c r="D180" s="9"/>
      <c r="E180" s="9"/>
      <c r="F180" s="10">
        <v>45056</v>
      </c>
      <c r="G180">
        <v>0</v>
      </c>
    </row>
    <row r="181" spans="1:7" x14ac:dyDescent="0.2">
      <c r="A181" s="7">
        <v>45057</v>
      </c>
      <c r="B181">
        <v>0</v>
      </c>
      <c r="D181" s="9"/>
      <c r="E181" s="9"/>
      <c r="F181" s="10">
        <v>45057</v>
      </c>
      <c r="G181">
        <v>0</v>
      </c>
    </row>
    <row r="182" spans="1:7" x14ac:dyDescent="0.2">
      <c r="A182" s="7">
        <v>45058</v>
      </c>
      <c r="B182">
        <v>0</v>
      </c>
      <c r="D182" s="9"/>
      <c r="E182" s="9"/>
      <c r="F182" s="10">
        <v>45058</v>
      </c>
      <c r="G182">
        <v>0</v>
      </c>
    </row>
    <row r="183" spans="1:7" x14ac:dyDescent="0.2">
      <c r="A183" s="7">
        <v>45059</v>
      </c>
      <c r="B183">
        <v>0</v>
      </c>
      <c r="D183" s="9"/>
      <c r="E183" s="9"/>
      <c r="F183" s="10">
        <v>45059</v>
      </c>
      <c r="G183">
        <v>0</v>
      </c>
    </row>
    <row r="184" spans="1:7" x14ac:dyDescent="0.2">
      <c r="A184" s="7">
        <v>45060</v>
      </c>
      <c r="B184">
        <v>0</v>
      </c>
      <c r="D184" s="9"/>
      <c r="E184" s="9"/>
      <c r="F184" s="10">
        <v>45060</v>
      </c>
      <c r="G184">
        <v>0</v>
      </c>
    </row>
    <row r="185" spans="1:7" x14ac:dyDescent="0.2">
      <c r="A185" s="7">
        <v>45061</v>
      </c>
      <c r="B185">
        <v>0</v>
      </c>
      <c r="D185" s="9"/>
      <c r="E185" s="9"/>
      <c r="F185" s="10">
        <v>45061</v>
      </c>
      <c r="G185">
        <v>0</v>
      </c>
    </row>
    <row r="186" spans="1:7" x14ac:dyDescent="0.2">
      <c r="A186" s="7">
        <v>45062</v>
      </c>
      <c r="B186">
        <v>0</v>
      </c>
      <c r="D186" s="9"/>
      <c r="E186" s="9"/>
      <c r="F186" s="10">
        <v>45062</v>
      </c>
      <c r="G186">
        <v>0</v>
      </c>
    </row>
    <row r="187" spans="1:7" x14ac:dyDescent="0.2">
      <c r="A187" s="7">
        <v>45063</v>
      </c>
      <c r="B187">
        <v>0</v>
      </c>
      <c r="D187" s="9"/>
      <c r="E187" s="9"/>
      <c r="F187" s="10">
        <v>45063</v>
      </c>
      <c r="G187">
        <v>0</v>
      </c>
    </row>
    <row r="188" spans="1:7" x14ac:dyDescent="0.2">
      <c r="A188" s="7">
        <v>45064</v>
      </c>
      <c r="B188">
        <v>0</v>
      </c>
      <c r="D188" s="9"/>
      <c r="E188" s="9"/>
      <c r="F188" s="10">
        <v>45064</v>
      </c>
      <c r="G188">
        <v>0</v>
      </c>
    </row>
    <row r="189" spans="1:7" x14ac:dyDescent="0.2">
      <c r="A189" s="7">
        <v>45065</v>
      </c>
      <c r="B189">
        <v>0</v>
      </c>
      <c r="D189" s="9"/>
      <c r="E189" s="9"/>
      <c r="F189" s="10">
        <v>45065</v>
      </c>
      <c r="G189">
        <v>0</v>
      </c>
    </row>
    <row r="190" spans="1:7" x14ac:dyDescent="0.2">
      <c r="A190" s="7">
        <v>45066</v>
      </c>
      <c r="B190">
        <v>0</v>
      </c>
      <c r="D190" s="9"/>
      <c r="E190" s="9"/>
      <c r="F190" s="10">
        <v>45066</v>
      </c>
      <c r="G190">
        <v>0</v>
      </c>
    </row>
    <row r="191" spans="1:7" x14ac:dyDescent="0.2">
      <c r="A191" s="7">
        <v>45067</v>
      </c>
      <c r="B191">
        <v>0</v>
      </c>
      <c r="D191" s="9"/>
      <c r="E191" s="9"/>
      <c r="F191" s="10">
        <v>45067</v>
      </c>
      <c r="G191">
        <v>0</v>
      </c>
    </row>
    <row r="192" spans="1:7" x14ac:dyDescent="0.2">
      <c r="A192" s="7">
        <v>45068</v>
      </c>
      <c r="B192">
        <v>0</v>
      </c>
      <c r="D192" s="9"/>
      <c r="E192" s="9"/>
      <c r="F192" s="10">
        <v>45068</v>
      </c>
      <c r="G192">
        <v>0</v>
      </c>
    </row>
    <row r="193" spans="1:7" x14ac:dyDescent="0.2">
      <c r="A193" s="7">
        <v>45069</v>
      </c>
      <c r="B193">
        <v>0</v>
      </c>
      <c r="D193" s="9"/>
      <c r="E193" s="9"/>
      <c r="F193" s="10">
        <v>45069</v>
      </c>
      <c r="G193">
        <v>0</v>
      </c>
    </row>
    <row r="194" spans="1:7" x14ac:dyDescent="0.2">
      <c r="A194" s="7">
        <v>45070</v>
      </c>
      <c r="B194">
        <v>0</v>
      </c>
      <c r="D194" s="9"/>
      <c r="E194" s="9"/>
      <c r="F194" s="10">
        <v>45070</v>
      </c>
      <c r="G194">
        <v>0</v>
      </c>
    </row>
    <row r="195" spans="1:7" x14ac:dyDescent="0.2">
      <c r="A195" s="7">
        <v>45071</v>
      </c>
      <c r="B195">
        <v>1</v>
      </c>
      <c r="D195" s="9"/>
      <c r="E195" s="9"/>
      <c r="F195" s="10">
        <v>45071</v>
      </c>
      <c r="G195">
        <v>300</v>
      </c>
    </row>
    <row r="196" spans="1:7" x14ac:dyDescent="0.2">
      <c r="A196" s="7">
        <v>45072</v>
      </c>
      <c r="B196">
        <v>1</v>
      </c>
      <c r="D196" s="9"/>
      <c r="E196" s="9"/>
      <c r="F196" s="10">
        <v>45072</v>
      </c>
      <c r="G196">
        <v>450</v>
      </c>
    </row>
    <row r="197" spans="1:7" x14ac:dyDescent="0.2">
      <c r="A197" s="7">
        <v>45073</v>
      </c>
      <c r="B197">
        <v>0</v>
      </c>
      <c r="D197" s="9"/>
      <c r="E197" s="9"/>
      <c r="F197" s="10">
        <v>45073</v>
      </c>
      <c r="G197">
        <v>0</v>
      </c>
    </row>
    <row r="198" spans="1:7" x14ac:dyDescent="0.2">
      <c r="A198" s="7">
        <v>45074</v>
      </c>
      <c r="B198">
        <v>0</v>
      </c>
      <c r="D198" s="9"/>
      <c r="E198" s="9"/>
      <c r="F198" s="10">
        <v>45074</v>
      </c>
      <c r="G198">
        <v>0</v>
      </c>
    </row>
    <row r="199" spans="1:7" x14ac:dyDescent="0.2">
      <c r="A199" s="7">
        <v>45075</v>
      </c>
      <c r="B199">
        <v>0</v>
      </c>
      <c r="D199" s="9"/>
      <c r="E199" s="9"/>
      <c r="F199" s="10">
        <v>45075</v>
      </c>
      <c r="G199">
        <v>0</v>
      </c>
    </row>
    <row r="200" spans="1:7" x14ac:dyDescent="0.2">
      <c r="A200" s="7">
        <v>45076</v>
      </c>
      <c r="B200">
        <v>0</v>
      </c>
      <c r="D200" s="9"/>
      <c r="E200" s="9"/>
      <c r="F200" s="10">
        <v>45076</v>
      </c>
      <c r="G200">
        <v>0</v>
      </c>
    </row>
    <row r="201" spans="1:7" x14ac:dyDescent="0.2">
      <c r="A201" s="7">
        <v>45077</v>
      </c>
      <c r="B201">
        <v>0</v>
      </c>
      <c r="D201" s="9"/>
      <c r="E201" s="9"/>
      <c r="F201" s="10">
        <v>45077</v>
      </c>
      <c r="G201">
        <v>0</v>
      </c>
    </row>
    <row r="202" spans="1:7" x14ac:dyDescent="0.2">
      <c r="A202" s="7">
        <v>45078</v>
      </c>
      <c r="B202">
        <v>0</v>
      </c>
      <c r="D202" s="9"/>
      <c r="E202" s="9"/>
      <c r="F202" s="10">
        <v>45078</v>
      </c>
      <c r="G202">
        <v>0</v>
      </c>
    </row>
    <row r="203" spans="1:7" x14ac:dyDescent="0.2">
      <c r="A203" s="7">
        <v>45079</v>
      </c>
      <c r="B203">
        <v>0</v>
      </c>
      <c r="D203" s="9"/>
      <c r="E203" s="9"/>
      <c r="F203" s="10">
        <v>45079</v>
      </c>
      <c r="G203">
        <v>0</v>
      </c>
    </row>
    <row r="204" spans="1:7" x14ac:dyDescent="0.2">
      <c r="A204" s="7">
        <v>45080</v>
      </c>
      <c r="B204">
        <v>0</v>
      </c>
      <c r="D204" s="9"/>
      <c r="E204" s="9"/>
      <c r="F204" s="10">
        <v>45080</v>
      </c>
      <c r="G204">
        <v>0</v>
      </c>
    </row>
    <row r="205" spans="1:7" x14ac:dyDescent="0.2">
      <c r="A205" s="7">
        <v>45081</v>
      </c>
      <c r="B205">
        <v>0</v>
      </c>
      <c r="D205" s="9"/>
      <c r="E205" s="9"/>
      <c r="F205" s="10">
        <v>45081</v>
      </c>
      <c r="G205">
        <v>0</v>
      </c>
    </row>
    <row r="206" spans="1:7" x14ac:dyDescent="0.2">
      <c r="A206" s="7">
        <v>45082</v>
      </c>
      <c r="B206">
        <v>0</v>
      </c>
      <c r="D206" s="9"/>
      <c r="E206" s="9"/>
      <c r="F206" s="10">
        <v>45082</v>
      </c>
      <c r="G206">
        <v>0</v>
      </c>
    </row>
    <row r="207" spans="1:7" x14ac:dyDescent="0.2">
      <c r="A207" s="7">
        <v>45083</v>
      </c>
      <c r="B207">
        <v>0</v>
      </c>
      <c r="D207" s="9"/>
      <c r="E207" s="9"/>
      <c r="F207" s="10">
        <v>45083</v>
      </c>
      <c r="G207">
        <v>0</v>
      </c>
    </row>
    <row r="208" spans="1:7" x14ac:dyDescent="0.2">
      <c r="A208" s="7">
        <v>45084</v>
      </c>
      <c r="B208">
        <v>0</v>
      </c>
      <c r="D208" s="9"/>
      <c r="E208" s="9"/>
      <c r="F208" s="10">
        <v>45084</v>
      </c>
      <c r="G208">
        <v>0</v>
      </c>
    </row>
    <row r="209" spans="1:7" x14ac:dyDescent="0.2">
      <c r="A209" s="7">
        <v>45085</v>
      </c>
      <c r="B209">
        <v>0</v>
      </c>
      <c r="D209" s="9"/>
      <c r="E209" s="9"/>
      <c r="F209" s="10">
        <v>45085</v>
      </c>
      <c r="G209">
        <v>0</v>
      </c>
    </row>
    <row r="210" spans="1:7" x14ac:dyDescent="0.2">
      <c r="A210" s="7">
        <v>45086</v>
      </c>
      <c r="B210">
        <v>0</v>
      </c>
      <c r="D210" s="9"/>
      <c r="E210" s="9"/>
      <c r="F210" s="10">
        <v>45086</v>
      </c>
      <c r="G210">
        <v>0</v>
      </c>
    </row>
    <row r="211" spans="1:7" x14ac:dyDescent="0.2">
      <c r="A211" s="7">
        <v>45087</v>
      </c>
      <c r="B211">
        <v>0</v>
      </c>
      <c r="D211" s="9"/>
      <c r="E211" s="9"/>
      <c r="F211" s="10">
        <v>45087</v>
      </c>
      <c r="G211">
        <v>0</v>
      </c>
    </row>
    <row r="212" spans="1:7" x14ac:dyDescent="0.2">
      <c r="A212" s="7">
        <v>45088</v>
      </c>
      <c r="B212">
        <v>0</v>
      </c>
      <c r="D212" s="9"/>
      <c r="E212" s="9"/>
      <c r="F212" s="10">
        <v>45088</v>
      </c>
      <c r="G212">
        <v>0</v>
      </c>
    </row>
    <row r="213" spans="1:7" x14ac:dyDescent="0.2">
      <c r="A213" s="7">
        <v>45089</v>
      </c>
      <c r="B213">
        <v>0</v>
      </c>
      <c r="D213" s="9"/>
      <c r="E213" s="9"/>
      <c r="F213" s="10">
        <v>45089</v>
      </c>
      <c r="G213">
        <v>0</v>
      </c>
    </row>
    <row r="214" spans="1:7" x14ac:dyDescent="0.2">
      <c r="A214" s="7">
        <v>45090</v>
      </c>
      <c r="B214">
        <v>0</v>
      </c>
      <c r="D214" s="9"/>
      <c r="E214" s="9"/>
      <c r="F214" s="10">
        <v>45090</v>
      </c>
      <c r="G214">
        <v>0</v>
      </c>
    </row>
    <row r="215" spans="1:7" x14ac:dyDescent="0.2">
      <c r="A215" s="7">
        <v>45091</v>
      </c>
      <c r="B215">
        <v>0</v>
      </c>
      <c r="D215" s="9"/>
      <c r="E215" s="9"/>
      <c r="F215" s="10">
        <v>45091</v>
      </c>
      <c r="G215">
        <v>0</v>
      </c>
    </row>
    <row r="216" spans="1:7" x14ac:dyDescent="0.2">
      <c r="A216" s="7">
        <v>45092</v>
      </c>
      <c r="B216">
        <v>0</v>
      </c>
      <c r="D216" s="9"/>
      <c r="E216" s="9"/>
      <c r="F216" s="10">
        <v>45092</v>
      </c>
      <c r="G216">
        <v>0</v>
      </c>
    </row>
    <row r="217" spans="1:7" x14ac:dyDescent="0.2">
      <c r="A217" s="7">
        <v>45093</v>
      </c>
      <c r="B217">
        <v>0</v>
      </c>
      <c r="D217" s="9"/>
      <c r="E217" s="9"/>
      <c r="F217" s="10">
        <v>45093</v>
      </c>
      <c r="G217">
        <v>0</v>
      </c>
    </row>
    <row r="218" spans="1:7" x14ac:dyDescent="0.2">
      <c r="A218" s="7">
        <v>45094</v>
      </c>
      <c r="B218">
        <v>1</v>
      </c>
      <c r="D218" s="9"/>
      <c r="E218" s="9"/>
      <c r="F218" s="10">
        <v>45094</v>
      </c>
      <c r="G218">
        <v>700</v>
      </c>
    </row>
    <row r="219" spans="1:7" x14ac:dyDescent="0.2">
      <c r="A219" s="7">
        <v>45095</v>
      </c>
      <c r="B219">
        <v>0</v>
      </c>
      <c r="D219" s="9"/>
      <c r="E219" s="9"/>
      <c r="F219" s="10">
        <v>45095</v>
      </c>
      <c r="G219">
        <v>0</v>
      </c>
    </row>
    <row r="220" spans="1:7" x14ac:dyDescent="0.2">
      <c r="A220" s="7">
        <v>45096</v>
      </c>
      <c r="B220">
        <v>0</v>
      </c>
      <c r="D220" s="9"/>
      <c r="E220" s="9"/>
      <c r="F220" s="10">
        <v>45096</v>
      </c>
      <c r="G220">
        <v>0</v>
      </c>
    </row>
    <row r="221" spans="1:7" x14ac:dyDescent="0.2">
      <c r="A221" s="7">
        <v>45097</v>
      </c>
      <c r="B221">
        <v>0</v>
      </c>
      <c r="D221" s="9"/>
      <c r="E221" s="9"/>
      <c r="F221" s="10">
        <v>45097</v>
      </c>
      <c r="G221">
        <v>0</v>
      </c>
    </row>
    <row r="222" spans="1:7" x14ac:dyDescent="0.2">
      <c r="A222" s="7">
        <v>45098</v>
      </c>
      <c r="B222">
        <v>0</v>
      </c>
      <c r="D222" s="9"/>
      <c r="E222" s="9"/>
      <c r="F222" s="10">
        <v>45098</v>
      </c>
      <c r="G222">
        <v>0</v>
      </c>
    </row>
    <row r="223" spans="1:7" x14ac:dyDescent="0.2">
      <c r="A223" s="7">
        <v>45099</v>
      </c>
      <c r="B223">
        <v>0</v>
      </c>
      <c r="D223" s="9"/>
      <c r="E223" s="9"/>
      <c r="F223" s="10">
        <v>45099</v>
      </c>
      <c r="G223">
        <v>0</v>
      </c>
    </row>
    <row r="224" spans="1:7" x14ac:dyDescent="0.2">
      <c r="A224" s="7">
        <v>45100</v>
      </c>
      <c r="B224">
        <v>0</v>
      </c>
      <c r="D224" s="9"/>
      <c r="E224" s="9"/>
      <c r="F224" s="10">
        <v>45100</v>
      </c>
      <c r="G224">
        <v>0</v>
      </c>
    </row>
    <row r="225" spans="1:7" x14ac:dyDescent="0.2">
      <c r="A225" s="7">
        <v>45101</v>
      </c>
      <c r="B225">
        <v>1</v>
      </c>
      <c r="D225" s="9"/>
      <c r="E225" s="9"/>
      <c r="F225" s="10">
        <v>45101</v>
      </c>
      <c r="G225">
        <v>300</v>
      </c>
    </row>
    <row r="226" spans="1:7" x14ac:dyDescent="0.2">
      <c r="A226" s="7">
        <v>45102</v>
      </c>
      <c r="B226">
        <v>0</v>
      </c>
      <c r="D226" s="9"/>
      <c r="E226" s="9"/>
      <c r="F226" s="10">
        <v>45102</v>
      </c>
      <c r="G226">
        <v>0</v>
      </c>
    </row>
    <row r="227" spans="1:7" x14ac:dyDescent="0.2">
      <c r="A227" s="7">
        <v>45103</v>
      </c>
      <c r="B227">
        <v>0</v>
      </c>
      <c r="D227" s="9"/>
      <c r="E227" s="9"/>
      <c r="F227" s="10">
        <v>45103</v>
      </c>
      <c r="G227">
        <v>0</v>
      </c>
    </row>
    <row r="228" spans="1:7" x14ac:dyDescent="0.2">
      <c r="A228" s="7">
        <v>45104</v>
      </c>
      <c r="B228">
        <v>0</v>
      </c>
      <c r="D228" s="9"/>
      <c r="E228" s="9"/>
      <c r="F228" s="10">
        <v>45104</v>
      </c>
      <c r="G228">
        <v>0</v>
      </c>
    </row>
    <row r="229" spans="1:7" x14ac:dyDescent="0.2">
      <c r="A229" s="7">
        <v>45105</v>
      </c>
      <c r="B229">
        <v>0</v>
      </c>
      <c r="D229" s="9"/>
      <c r="E229" s="9"/>
      <c r="F229" s="10">
        <v>45105</v>
      </c>
      <c r="G229">
        <v>0</v>
      </c>
    </row>
    <row r="230" spans="1:7" x14ac:dyDescent="0.2">
      <c r="A230" s="7">
        <v>45106</v>
      </c>
      <c r="B230">
        <v>0</v>
      </c>
      <c r="D230" s="9"/>
      <c r="E230" s="9"/>
      <c r="F230" s="10">
        <v>45106</v>
      </c>
      <c r="G230">
        <v>0</v>
      </c>
    </row>
    <row r="231" spans="1:7" x14ac:dyDescent="0.2">
      <c r="A231" s="7">
        <v>45107</v>
      </c>
      <c r="B231">
        <v>0</v>
      </c>
      <c r="D231" s="9"/>
      <c r="E231" s="9"/>
      <c r="F231" s="10">
        <v>45107</v>
      </c>
      <c r="G231">
        <v>0</v>
      </c>
    </row>
    <row r="232" spans="1:7" x14ac:dyDescent="0.2">
      <c r="A232" s="7">
        <v>45108</v>
      </c>
      <c r="B232">
        <v>0</v>
      </c>
      <c r="D232" s="9"/>
      <c r="E232" s="9"/>
      <c r="F232" s="10">
        <v>45108</v>
      </c>
      <c r="G232">
        <v>0</v>
      </c>
    </row>
    <row r="233" spans="1:7" x14ac:dyDescent="0.2">
      <c r="A233" s="7">
        <v>45109</v>
      </c>
      <c r="B233">
        <v>0</v>
      </c>
      <c r="D233" s="9"/>
      <c r="E233" s="9"/>
      <c r="F233" s="10">
        <v>45109</v>
      </c>
      <c r="G233">
        <v>0</v>
      </c>
    </row>
    <row r="234" spans="1:7" x14ac:dyDescent="0.2">
      <c r="A234" s="7">
        <v>45110</v>
      </c>
      <c r="B234">
        <v>0</v>
      </c>
      <c r="D234" s="9"/>
      <c r="E234" s="9"/>
      <c r="F234" s="10">
        <v>45110</v>
      </c>
      <c r="G234">
        <v>0</v>
      </c>
    </row>
    <row r="235" spans="1:7" x14ac:dyDescent="0.2">
      <c r="A235" s="7">
        <v>45111</v>
      </c>
      <c r="B235">
        <v>0</v>
      </c>
      <c r="D235" s="9"/>
      <c r="E235" s="9"/>
      <c r="F235" s="10">
        <v>45111</v>
      </c>
      <c r="G235">
        <v>0</v>
      </c>
    </row>
    <row r="236" spans="1:7" x14ac:dyDescent="0.2">
      <c r="A236" s="7">
        <v>45112</v>
      </c>
      <c r="B236">
        <v>0</v>
      </c>
      <c r="D236" s="9"/>
      <c r="E236" s="9"/>
      <c r="F236" s="10">
        <v>45112</v>
      </c>
      <c r="G236">
        <v>0</v>
      </c>
    </row>
    <row r="237" spans="1:7" x14ac:dyDescent="0.2">
      <c r="A237" s="7">
        <v>45113</v>
      </c>
      <c r="B237">
        <v>1</v>
      </c>
      <c r="D237" s="9"/>
      <c r="E237" s="9"/>
      <c r="F237" s="10">
        <v>45113</v>
      </c>
      <c r="G237">
        <v>450</v>
      </c>
    </row>
    <row r="238" spans="1:7" x14ac:dyDescent="0.2">
      <c r="A238" s="7">
        <v>45114</v>
      </c>
      <c r="B238">
        <v>1</v>
      </c>
      <c r="D238" s="9"/>
      <c r="E238" s="9"/>
      <c r="F238" s="10">
        <v>45114</v>
      </c>
      <c r="G238">
        <v>700</v>
      </c>
    </row>
    <row r="239" spans="1:7" x14ac:dyDescent="0.2">
      <c r="A239" s="7">
        <v>45115</v>
      </c>
      <c r="B239">
        <v>0</v>
      </c>
      <c r="D239" s="9"/>
      <c r="E239" s="9"/>
      <c r="F239" s="10">
        <v>45115</v>
      </c>
      <c r="G239">
        <v>0</v>
      </c>
    </row>
    <row r="240" spans="1:7" x14ac:dyDescent="0.2">
      <c r="A240" s="7">
        <v>45116</v>
      </c>
      <c r="B240">
        <v>0</v>
      </c>
      <c r="D240" s="9"/>
      <c r="E240" s="9"/>
      <c r="F240" s="10">
        <v>45116</v>
      </c>
      <c r="G240">
        <v>0</v>
      </c>
    </row>
    <row r="241" spans="1:7" x14ac:dyDescent="0.2">
      <c r="A241" s="7">
        <v>45117</v>
      </c>
      <c r="B241">
        <v>0</v>
      </c>
      <c r="D241" s="9"/>
      <c r="E241" s="9"/>
      <c r="F241" s="10">
        <v>45117</v>
      </c>
      <c r="G241">
        <v>0</v>
      </c>
    </row>
    <row r="242" spans="1:7" x14ac:dyDescent="0.2">
      <c r="A242" s="7">
        <v>45118</v>
      </c>
      <c r="B242">
        <v>0</v>
      </c>
      <c r="D242" s="9"/>
      <c r="E242" s="9"/>
      <c r="F242" s="10">
        <v>45118</v>
      </c>
      <c r="G242">
        <v>0</v>
      </c>
    </row>
    <row r="243" spans="1:7" x14ac:dyDescent="0.2">
      <c r="A243" s="7">
        <v>45119</v>
      </c>
      <c r="B243">
        <v>0</v>
      </c>
      <c r="D243" s="9"/>
      <c r="E243" s="9"/>
      <c r="F243" s="10">
        <v>45119</v>
      </c>
      <c r="G243">
        <v>0</v>
      </c>
    </row>
    <row r="244" spans="1:7" x14ac:dyDescent="0.2">
      <c r="A244" s="7">
        <v>45120</v>
      </c>
      <c r="B244">
        <v>0</v>
      </c>
      <c r="D244" s="9"/>
      <c r="E244" s="9"/>
      <c r="F244" s="10">
        <v>45120</v>
      </c>
      <c r="G244">
        <v>0</v>
      </c>
    </row>
    <row r="245" spans="1:7" x14ac:dyDescent="0.2">
      <c r="A245" s="7">
        <v>45121</v>
      </c>
      <c r="B245">
        <v>0</v>
      </c>
      <c r="D245" s="9"/>
      <c r="E245" s="9"/>
      <c r="F245" s="10">
        <v>45121</v>
      </c>
      <c r="G245">
        <v>0</v>
      </c>
    </row>
    <row r="246" spans="1:7" x14ac:dyDescent="0.2">
      <c r="A246" s="7">
        <v>45122</v>
      </c>
      <c r="B246">
        <v>0</v>
      </c>
      <c r="D246" s="9"/>
      <c r="E246" s="9"/>
      <c r="F246" s="10">
        <v>45122</v>
      </c>
      <c r="G246">
        <v>0</v>
      </c>
    </row>
    <row r="247" spans="1:7" x14ac:dyDescent="0.2">
      <c r="A247" s="7">
        <v>45123</v>
      </c>
      <c r="B247">
        <v>0</v>
      </c>
      <c r="D247" s="9"/>
      <c r="E247" s="9"/>
      <c r="F247" s="10">
        <v>45123</v>
      </c>
      <c r="G247">
        <v>0</v>
      </c>
    </row>
    <row r="248" spans="1:7" x14ac:dyDescent="0.2">
      <c r="A248" s="7">
        <v>45124</v>
      </c>
      <c r="B248">
        <v>0</v>
      </c>
      <c r="D248" s="9"/>
      <c r="E248" s="9"/>
      <c r="F248" s="10">
        <v>45124</v>
      </c>
      <c r="G248">
        <v>0</v>
      </c>
    </row>
    <row r="249" spans="1:7" x14ac:dyDescent="0.2">
      <c r="A249" s="7">
        <v>45125</v>
      </c>
      <c r="B249">
        <v>0</v>
      </c>
      <c r="D249" s="9"/>
      <c r="E249" s="9"/>
      <c r="F249" s="10">
        <v>45125</v>
      </c>
      <c r="G249">
        <v>0</v>
      </c>
    </row>
    <row r="250" spans="1:7" x14ac:dyDescent="0.2">
      <c r="A250" s="7">
        <v>45126</v>
      </c>
      <c r="B250">
        <v>0</v>
      </c>
      <c r="D250" s="9"/>
      <c r="E250" s="9"/>
      <c r="F250" s="10">
        <v>45126</v>
      </c>
      <c r="G250">
        <v>0</v>
      </c>
    </row>
    <row r="251" spans="1:7" x14ac:dyDescent="0.2">
      <c r="A251" s="7">
        <v>45127</v>
      </c>
      <c r="B251">
        <v>0</v>
      </c>
      <c r="D251" s="9"/>
      <c r="E251" s="9"/>
      <c r="F251" s="10">
        <v>45127</v>
      </c>
      <c r="G251">
        <v>0</v>
      </c>
    </row>
    <row r="252" spans="1:7" x14ac:dyDescent="0.2">
      <c r="A252" s="7">
        <v>45128</v>
      </c>
      <c r="B252">
        <v>0</v>
      </c>
      <c r="D252" s="9"/>
      <c r="E252" s="9"/>
      <c r="F252" s="10">
        <v>45128</v>
      </c>
      <c r="G252">
        <v>0</v>
      </c>
    </row>
    <row r="253" spans="1:7" x14ac:dyDescent="0.2">
      <c r="A253" s="7">
        <v>45129</v>
      </c>
      <c r="B253">
        <v>0</v>
      </c>
      <c r="D253" s="9"/>
      <c r="E253" s="9"/>
      <c r="F253" s="10">
        <v>45129</v>
      </c>
      <c r="G253">
        <v>0</v>
      </c>
    </row>
    <row r="254" spans="1:7" x14ac:dyDescent="0.2">
      <c r="A254" s="7">
        <v>45130</v>
      </c>
      <c r="B254">
        <v>0</v>
      </c>
      <c r="D254" s="9"/>
      <c r="E254" s="9"/>
      <c r="F254" s="10">
        <v>45130</v>
      </c>
      <c r="G254">
        <v>0</v>
      </c>
    </row>
    <row r="255" spans="1:7" x14ac:dyDescent="0.2">
      <c r="A255" s="7">
        <v>45131</v>
      </c>
      <c r="B255">
        <v>1</v>
      </c>
      <c r="D255" s="9"/>
      <c r="E255" s="9"/>
      <c r="F255" s="10">
        <v>45131</v>
      </c>
      <c r="G255">
        <v>300</v>
      </c>
    </row>
    <row r="256" spans="1:7" x14ac:dyDescent="0.2">
      <c r="A256" s="7">
        <v>45132</v>
      </c>
      <c r="B256">
        <v>0</v>
      </c>
      <c r="D256" s="9"/>
      <c r="E256" s="9"/>
      <c r="F256" s="10">
        <v>45132</v>
      </c>
      <c r="G256">
        <v>0</v>
      </c>
    </row>
    <row r="257" spans="1:7" x14ac:dyDescent="0.2">
      <c r="A257" s="7">
        <v>45133</v>
      </c>
      <c r="B257">
        <v>1</v>
      </c>
      <c r="D257" s="9"/>
      <c r="E257" s="9"/>
      <c r="F257" s="10">
        <v>45133</v>
      </c>
      <c r="G257">
        <v>450</v>
      </c>
    </row>
    <row r="258" spans="1:7" x14ac:dyDescent="0.2">
      <c r="A258" s="7">
        <v>45134</v>
      </c>
      <c r="B258">
        <v>0</v>
      </c>
      <c r="D258" s="9"/>
      <c r="E258" s="9"/>
      <c r="F258" s="10">
        <v>45134</v>
      </c>
      <c r="G258">
        <v>0</v>
      </c>
    </row>
    <row r="259" spans="1:7" x14ac:dyDescent="0.2">
      <c r="A259" s="7">
        <v>45135</v>
      </c>
      <c r="B259">
        <v>0</v>
      </c>
      <c r="D259" s="9"/>
      <c r="E259" s="9"/>
      <c r="F259" s="10">
        <v>45135</v>
      </c>
      <c r="G259">
        <v>0</v>
      </c>
    </row>
    <row r="260" spans="1:7" x14ac:dyDescent="0.2">
      <c r="A260" s="7">
        <v>45136</v>
      </c>
      <c r="B260">
        <v>0</v>
      </c>
      <c r="D260" s="9"/>
      <c r="E260" s="9"/>
      <c r="F260" s="10">
        <v>45136</v>
      </c>
      <c r="G260">
        <v>0</v>
      </c>
    </row>
    <row r="261" spans="1:7" x14ac:dyDescent="0.2">
      <c r="A261" s="7">
        <v>45137</v>
      </c>
      <c r="B261">
        <v>0</v>
      </c>
      <c r="D261" s="9"/>
      <c r="E261" s="9"/>
      <c r="F261" s="10">
        <v>45137</v>
      </c>
      <c r="G261">
        <v>0</v>
      </c>
    </row>
    <row r="262" spans="1:7" x14ac:dyDescent="0.2">
      <c r="A262" s="7">
        <v>45138</v>
      </c>
      <c r="B262">
        <v>1</v>
      </c>
      <c r="D262" s="9"/>
      <c r="E262" s="9"/>
      <c r="F262" s="10">
        <v>45138</v>
      </c>
      <c r="G262">
        <v>700</v>
      </c>
    </row>
    <row r="263" spans="1:7" x14ac:dyDescent="0.2">
      <c r="A263" s="7">
        <v>45139</v>
      </c>
      <c r="B263">
        <v>0</v>
      </c>
      <c r="D263" s="9"/>
      <c r="E263" s="9"/>
      <c r="F263" s="10">
        <v>45139</v>
      </c>
      <c r="G263">
        <v>0</v>
      </c>
    </row>
    <row r="264" spans="1:7" x14ac:dyDescent="0.2">
      <c r="A264" s="7">
        <v>45140</v>
      </c>
      <c r="B264">
        <v>0</v>
      </c>
      <c r="D264" s="9"/>
      <c r="E264" s="9"/>
      <c r="F264" s="10">
        <v>45140</v>
      </c>
      <c r="G264">
        <v>0</v>
      </c>
    </row>
    <row r="265" spans="1:7" x14ac:dyDescent="0.2">
      <c r="A265" s="7">
        <v>45141</v>
      </c>
      <c r="B265">
        <v>0</v>
      </c>
      <c r="D265" s="9"/>
      <c r="E265" s="9"/>
      <c r="F265" s="10">
        <v>45141</v>
      </c>
      <c r="G265">
        <v>0</v>
      </c>
    </row>
    <row r="266" spans="1:7" x14ac:dyDescent="0.2">
      <c r="A266" s="7">
        <v>45142</v>
      </c>
      <c r="B266">
        <v>1</v>
      </c>
      <c r="D266" s="9"/>
      <c r="E266" s="9"/>
      <c r="F266" s="10">
        <v>45142</v>
      </c>
      <c r="G266">
        <v>300</v>
      </c>
    </row>
    <row r="267" spans="1:7" x14ac:dyDescent="0.2">
      <c r="A267" s="7">
        <v>45143</v>
      </c>
      <c r="B267">
        <v>0</v>
      </c>
      <c r="D267" s="9"/>
      <c r="E267" s="9"/>
      <c r="F267" s="10">
        <v>45143</v>
      </c>
      <c r="G267">
        <v>0</v>
      </c>
    </row>
    <row r="268" spans="1:7" x14ac:dyDescent="0.2">
      <c r="A268" s="7">
        <v>45144</v>
      </c>
      <c r="B268">
        <v>0</v>
      </c>
      <c r="D268" s="9"/>
      <c r="E268" s="9"/>
      <c r="F268" s="10">
        <v>45144</v>
      </c>
      <c r="G268">
        <v>0</v>
      </c>
    </row>
    <row r="269" spans="1:7" x14ac:dyDescent="0.2">
      <c r="A269" s="7">
        <v>45145</v>
      </c>
      <c r="B269">
        <v>0</v>
      </c>
      <c r="D269" s="9"/>
      <c r="E269" s="9"/>
      <c r="F269" s="10">
        <v>45145</v>
      </c>
      <c r="G269">
        <v>0</v>
      </c>
    </row>
    <row r="270" spans="1:7" x14ac:dyDescent="0.2">
      <c r="A270" s="7">
        <v>45146</v>
      </c>
      <c r="B270">
        <v>0</v>
      </c>
      <c r="D270" s="9"/>
      <c r="E270" s="9"/>
      <c r="F270" s="10">
        <v>45146</v>
      </c>
      <c r="G270">
        <v>0</v>
      </c>
    </row>
    <row r="271" spans="1:7" x14ac:dyDescent="0.2">
      <c r="A271" s="7">
        <v>45147</v>
      </c>
      <c r="B271">
        <v>0</v>
      </c>
      <c r="D271" s="9"/>
      <c r="E271" s="9"/>
      <c r="F271" s="10">
        <v>45147</v>
      </c>
      <c r="G271">
        <v>0</v>
      </c>
    </row>
    <row r="272" spans="1:7" x14ac:dyDescent="0.2">
      <c r="A272" s="7">
        <v>45148</v>
      </c>
      <c r="B272">
        <v>0</v>
      </c>
      <c r="D272" s="9"/>
      <c r="E272" s="9"/>
      <c r="F272" s="10">
        <v>45148</v>
      </c>
      <c r="G272">
        <v>0</v>
      </c>
    </row>
    <row r="273" spans="1:7" x14ac:dyDescent="0.2">
      <c r="A273" s="7">
        <v>45149</v>
      </c>
      <c r="B273">
        <v>0</v>
      </c>
      <c r="D273" s="9"/>
      <c r="E273" s="9"/>
      <c r="F273" s="10">
        <v>45149</v>
      </c>
      <c r="G273">
        <v>0</v>
      </c>
    </row>
    <row r="274" spans="1:7" x14ac:dyDescent="0.2">
      <c r="A274" s="7">
        <v>45150</v>
      </c>
      <c r="B274">
        <v>0</v>
      </c>
      <c r="D274" s="9"/>
      <c r="E274" s="9"/>
      <c r="F274" s="10">
        <v>45150</v>
      </c>
      <c r="G274">
        <v>0</v>
      </c>
    </row>
    <row r="275" spans="1:7" x14ac:dyDescent="0.2">
      <c r="A275" s="7">
        <v>45151</v>
      </c>
      <c r="B275">
        <v>0</v>
      </c>
      <c r="D275" s="9"/>
      <c r="E275" s="9"/>
      <c r="F275" s="10">
        <v>45151</v>
      </c>
      <c r="G275">
        <v>0</v>
      </c>
    </row>
    <row r="276" spans="1:7" x14ac:dyDescent="0.2">
      <c r="A276" s="7">
        <v>45152</v>
      </c>
      <c r="B276">
        <v>0</v>
      </c>
      <c r="D276" s="9"/>
      <c r="E276" s="9"/>
      <c r="F276" s="10">
        <v>45152</v>
      </c>
      <c r="G276">
        <v>0</v>
      </c>
    </row>
    <row r="277" spans="1:7" x14ac:dyDescent="0.2">
      <c r="A277" s="7">
        <v>45153</v>
      </c>
      <c r="B277">
        <v>0</v>
      </c>
      <c r="D277" s="9"/>
      <c r="E277" s="9"/>
      <c r="F277" s="10">
        <v>45153</v>
      </c>
      <c r="G277">
        <v>0</v>
      </c>
    </row>
    <row r="278" spans="1:7" x14ac:dyDescent="0.2">
      <c r="A278" s="7">
        <v>45154</v>
      </c>
      <c r="B278">
        <v>0</v>
      </c>
      <c r="D278" s="9"/>
      <c r="E278" s="9"/>
      <c r="F278" s="10">
        <v>45154</v>
      </c>
      <c r="G278">
        <v>0</v>
      </c>
    </row>
    <row r="279" spans="1:7" x14ac:dyDescent="0.2">
      <c r="A279" s="7">
        <v>45155</v>
      </c>
      <c r="B279">
        <v>2</v>
      </c>
      <c r="D279" s="9"/>
      <c r="E279" s="9"/>
      <c r="F279" s="10">
        <v>45155</v>
      </c>
      <c r="G279">
        <v>1150</v>
      </c>
    </row>
    <row r="280" spans="1:7" x14ac:dyDescent="0.2">
      <c r="A280" s="7">
        <v>45156</v>
      </c>
      <c r="B280">
        <v>0</v>
      </c>
      <c r="D280" s="9"/>
      <c r="E280" s="9"/>
      <c r="F280" s="10">
        <v>45156</v>
      </c>
      <c r="G280">
        <v>0</v>
      </c>
    </row>
    <row r="281" spans="1:7" x14ac:dyDescent="0.2">
      <c r="A281" s="7">
        <v>45157</v>
      </c>
      <c r="B281">
        <v>0</v>
      </c>
      <c r="D281" s="9"/>
      <c r="E281" s="9"/>
      <c r="F281" s="10">
        <v>45157</v>
      </c>
      <c r="G281">
        <v>0</v>
      </c>
    </row>
    <row r="282" spans="1:7" x14ac:dyDescent="0.2">
      <c r="A282" s="7">
        <v>45158</v>
      </c>
      <c r="B282">
        <v>0</v>
      </c>
      <c r="D282" s="9"/>
      <c r="E282" s="9"/>
      <c r="F282" s="10">
        <v>45158</v>
      </c>
      <c r="G282">
        <v>0</v>
      </c>
    </row>
    <row r="283" spans="1:7" x14ac:dyDescent="0.2">
      <c r="A283" s="7">
        <v>45159</v>
      </c>
      <c r="B283">
        <v>0</v>
      </c>
      <c r="D283" s="9"/>
      <c r="E283" s="9"/>
      <c r="F283" s="10">
        <v>45159</v>
      </c>
      <c r="G283">
        <v>0</v>
      </c>
    </row>
    <row r="284" spans="1:7" x14ac:dyDescent="0.2">
      <c r="A284" s="7">
        <v>45160</v>
      </c>
      <c r="B284">
        <v>0</v>
      </c>
      <c r="D284" s="9"/>
      <c r="E284" s="9"/>
      <c r="F284" s="10">
        <v>45160</v>
      </c>
      <c r="G284">
        <v>0</v>
      </c>
    </row>
    <row r="285" spans="1:7" x14ac:dyDescent="0.2">
      <c r="A285" s="7">
        <v>45161</v>
      </c>
      <c r="B285">
        <v>0</v>
      </c>
      <c r="D285" s="9"/>
      <c r="E285" s="9"/>
      <c r="F285" s="10">
        <v>45161</v>
      </c>
      <c r="G285">
        <v>0</v>
      </c>
    </row>
    <row r="286" spans="1:7" x14ac:dyDescent="0.2">
      <c r="A286" s="7">
        <v>45162</v>
      </c>
      <c r="B286">
        <v>0</v>
      </c>
      <c r="D286" s="9"/>
      <c r="E286" s="9"/>
      <c r="F286" s="10">
        <v>45162</v>
      </c>
      <c r="G286">
        <v>0</v>
      </c>
    </row>
    <row r="287" spans="1:7" x14ac:dyDescent="0.2">
      <c r="A287" s="7">
        <v>45163</v>
      </c>
      <c r="B287">
        <v>0</v>
      </c>
      <c r="D287" s="9"/>
      <c r="E287" s="9"/>
      <c r="F287" s="10">
        <v>45163</v>
      </c>
      <c r="G287">
        <v>0</v>
      </c>
    </row>
    <row r="288" spans="1:7" x14ac:dyDescent="0.2">
      <c r="A288" s="7">
        <v>45164</v>
      </c>
      <c r="B288">
        <v>0</v>
      </c>
      <c r="D288" s="9"/>
      <c r="E288" s="9"/>
      <c r="F288" s="10">
        <v>45164</v>
      </c>
      <c r="G288">
        <v>0</v>
      </c>
    </row>
    <row r="289" spans="1:7" x14ac:dyDescent="0.2">
      <c r="A289" s="7">
        <v>45165</v>
      </c>
      <c r="B289">
        <v>0</v>
      </c>
      <c r="D289" s="9"/>
      <c r="E289" s="9"/>
      <c r="F289" s="10">
        <v>45165</v>
      </c>
      <c r="G289">
        <v>0</v>
      </c>
    </row>
    <row r="290" spans="1:7" x14ac:dyDescent="0.2">
      <c r="A290" s="7">
        <v>45166</v>
      </c>
      <c r="B290">
        <v>0</v>
      </c>
      <c r="D290" s="9"/>
      <c r="E290" s="9"/>
      <c r="F290" s="10">
        <v>45166</v>
      </c>
      <c r="G290">
        <v>0</v>
      </c>
    </row>
    <row r="291" spans="1:7" x14ac:dyDescent="0.2">
      <c r="A291" s="7">
        <v>45167</v>
      </c>
      <c r="B291">
        <v>0</v>
      </c>
      <c r="D291" s="9"/>
      <c r="E291" s="9"/>
      <c r="F291" s="10">
        <v>45167</v>
      </c>
      <c r="G291">
        <v>0</v>
      </c>
    </row>
    <row r="292" spans="1:7" x14ac:dyDescent="0.2">
      <c r="A292" s="7">
        <v>45168</v>
      </c>
      <c r="B292">
        <v>0</v>
      </c>
      <c r="D292" s="9"/>
      <c r="E292" s="9"/>
      <c r="F292" s="10">
        <v>45168</v>
      </c>
      <c r="G292">
        <v>0</v>
      </c>
    </row>
    <row r="293" spans="1:7" x14ac:dyDescent="0.2">
      <c r="A293" s="7">
        <v>45169</v>
      </c>
      <c r="B293">
        <v>0</v>
      </c>
      <c r="D293" s="9"/>
      <c r="E293" s="9"/>
      <c r="F293" s="10">
        <v>45169</v>
      </c>
      <c r="G293">
        <v>0</v>
      </c>
    </row>
    <row r="294" spans="1:7" x14ac:dyDescent="0.2">
      <c r="A294" s="7">
        <v>45170</v>
      </c>
      <c r="B294">
        <v>0</v>
      </c>
      <c r="D294" s="9"/>
      <c r="E294" s="9"/>
      <c r="F294" s="10">
        <v>45170</v>
      </c>
      <c r="G294">
        <v>0</v>
      </c>
    </row>
    <row r="295" spans="1:7" x14ac:dyDescent="0.2">
      <c r="A295" s="7">
        <v>45171</v>
      </c>
      <c r="B295">
        <v>0</v>
      </c>
      <c r="D295" s="9"/>
      <c r="E295" s="9"/>
      <c r="F295" s="10">
        <v>45171</v>
      </c>
      <c r="G295">
        <v>0</v>
      </c>
    </row>
    <row r="296" spans="1:7" x14ac:dyDescent="0.2">
      <c r="A296" s="7">
        <v>45172</v>
      </c>
      <c r="B296">
        <v>0</v>
      </c>
      <c r="D296" s="9"/>
      <c r="E296" s="9"/>
      <c r="F296" s="10">
        <v>45172</v>
      </c>
      <c r="G296">
        <v>0</v>
      </c>
    </row>
    <row r="297" spans="1:7" x14ac:dyDescent="0.2">
      <c r="A297" s="7">
        <v>45173</v>
      </c>
      <c r="B297">
        <v>0</v>
      </c>
      <c r="D297" s="9"/>
      <c r="E297" s="9"/>
      <c r="F297" s="10">
        <v>45173</v>
      </c>
      <c r="G297">
        <v>0</v>
      </c>
    </row>
    <row r="298" spans="1:7" x14ac:dyDescent="0.2">
      <c r="A298" s="7">
        <v>45174</v>
      </c>
      <c r="B298">
        <v>0</v>
      </c>
      <c r="D298" s="9"/>
      <c r="E298" s="9"/>
      <c r="F298" s="10">
        <v>45174</v>
      </c>
      <c r="G298">
        <v>0</v>
      </c>
    </row>
    <row r="299" spans="1:7" x14ac:dyDescent="0.2">
      <c r="A299" s="7">
        <v>45175</v>
      </c>
      <c r="B299">
        <v>0</v>
      </c>
      <c r="D299" s="9"/>
      <c r="E299" s="9"/>
      <c r="F299" s="10">
        <v>45175</v>
      </c>
      <c r="G299">
        <v>0</v>
      </c>
    </row>
    <row r="300" spans="1:7" x14ac:dyDescent="0.2">
      <c r="A300" s="7">
        <v>45176</v>
      </c>
      <c r="B300">
        <v>0</v>
      </c>
      <c r="D300" s="9"/>
      <c r="E300" s="9"/>
      <c r="F300" s="10">
        <v>45176</v>
      </c>
      <c r="G300">
        <v>0</v>
      </c>
    </row>
    <row r="301" spans="1:7" x14ac:dyDescent="0.2">
      <c r="A301" s="7">
        <v>45177</v>
      </c>
      <c r="B301">
        <v>0</v>
      </c>
      <c r="D301" s="9"/>
      <c r="E301" s="9"/>
      <c r="F301" s="10">
        <v>45177</v>
      </c>
      <c r="G301">
        <v>0</v>
      </c>
    </row>
    <row r="302" spans="1:7" x14ac:dyDescent="0.2">
      <c r="A302" s="7">
        <v>45178</v>
      </c>
      <c r="B302">
        <v>1</v>
      </c>
      <c r="D302" s="9"/>
      <c r="E302" s="9"/>
      <c r="F302" s="10">
        <v>45178</v>
      </c>
      <c r="G302">
        <v>300</v>
      </c>
    </row>
    <row r="303" spans="1:7" x14ac:dyDescent="0.2">
      <c r="A303" s="7">
        <v>45179</v>
      </c>
      <c r="B303">
        <v>0</v>
      </c>
      <c r="D303" s="9"/>
      <c r="E303" s="9"/>
      <c r="F303" s="10">
        <v>45179</v>
      </c>
      <c r="G303">
        <v>0</v>
      </c>
    </row>
    <row r="304" spans="1:7" x14ac:dyDescent="0.2">
      <c r="A304" s="7">
        <v>45180</v>
      </c>
      <c r="B304">
        <v>1</v>
      </c>
      <c r="D304" s="9"/>
      <c r="E304" s="9"/>
      <c r="F304" s="10">
        <v>45180</v>
      </c>
      <c r="G304">
        <v>450</v>
      </c>
    </row>
    <row r="305" spans="1:7" x14ac:dyDescent="0.2">
      <c r="A305" s="7">
        <v>45181</v>
      </c>
      <c r="B305">
        <v>0</v>
      </c>
      <c r="D305" s="9"/>
      <c r="E305" s="9"/>
      <c r="F305" s="10">
        <v>45181</v>
      </c>
      <c r="G305">
        <v>0</v>
      </c>
    </row>
    <row r="306" spans="1:7" x14ac:dyDescent="0.2">
      <c r="A306" s="7">
        <v>45182</v>
      </c>
      <c r="B306">
        <v>0</v>
      </c>
      <c r="D306" s="9"/>
      <c r="E306" s="9"/>
      <c r="F306" s="10">
        <v>45182</v>
      </c>
      <c r="G306">
        <v>0</v>
      </c>
    </row>
    <row r="307" spans="1:7" x14ac:dyDescent="0.2">
      <c r="A307" s="7">
        <v>45183</v>
      </c>
      <c r="B307">
        <v>0</v>
      </c>
      <c r="D307" s="9"/>
      <c r="E307" s="9"/>
      <c r="F307" s="10">
        <v>45183</v>
      </c>
      <c r="G307">
        <v>0</v>
      </c>
    </row>
    <row r="308" spans="1:7" x14ac:dyDescent="0.2">
      <c r="A308" s="7">
        <v>45184</v>
      </c>
      <c r="B308">
        <v>0</v>
      </c>
      <c r="D308" s="9"/>
      <c r="E308" s="9"/>
      <c r="F308" s="10">
        <v>45184</v>
      </c>
      <c r="G308">
        <v>0</v>
      </c>
    </row>
    <row r="309" spans="1:7" x14ac:dyDescent="0.2">
      <c r="A309" s="7">
        <v>45185</v>
      </c>
      <c r="B309">
        <v>0</v>
      </c>
      <c r="D309" s="9"/>
      <c r="E309" s="9"/>
      <c r="F309" s="10">
        <v>45185</v>
      </c>
      <c r="G309">
        <v>0</v>
      </c>
    </row>
    <row r="310" spans="1:7" x14ac:dyDescent="0.2">
      <c r="A310" s="7">
        <v>45186</v>
      </c>
      <c r="B310">
        <v>0</v>
      </c>
      <c r="D310" s="9"/>
      <c r="E310" s="9"/>
      <c r="F310" s="10">
        <v>45186</v>
      </c>
      <c r="G310">
        <v>0</v>
      </c>
    </row>
    <row r="311" spans="1:7" x14ac:dyDescent="0.2">
      <c r="A311" s="7">
        <v>45187</v>
      </c>
      <c r="B311">
        <v>0</v>
      </c>
      <c r="D311" s="9"/>
      <c r="E311" s="9"/>
      <c r="F311" s="10">
        <v>45187</v>
      </c>
      <c r="G311">
        <v>0</v>
      </c>
    </row>
    <row r="312" spans="1:7" x14ac:dyDescent="0.2">
      <c r="A312" s="7">
        <v>45188</v>
      </c>
      <c r="B312">
        <v>0</v>
      </c>
      <c r="D312" s="9"/>
      <c r="E312" s="9"/>
      <c r="F312" s="10">
        <v>45188</v>
      </c>
      <c r="G312">
        <v>0</v>
      </c>
    </row>
    <row r="313" spans="1:7" x14ac:dyDescent="0.2">
      <c r="A313" s="7">
        <v>45189</v>
      </c>
      <c r="B313">
        <v>0</v>
      </c>
      <c r="D313" s="9"/>
      <c r="E313" s="9"/>
      <c r="F313" s="10">
        <v>45189</v>
      </c>
      <c r="G313">
        <v>0</v>
      </c>
    </row>
    <row r="314" spans="1:7" x14ac:dyDescent="0.2">
      <c r="A314" s="7">
        <v>45190</v>
      </c>
      <c r="B314">
        <v>0</v>
      </c>
      <c r="D314" s="9"/>
      <c r="E314" s="9"/>
      <c r="F314" s="10">
        <v>45190</v>
      </c>
      <c r="G314">
        <v>0</v>
      </c>
    </row>
    <row r="315" spans="1:7" x14ac:dyDescent="0.2">
      <c r="A315" s="7">
        <v>45191</v>
      </c>
      <c r="B315">
        <v>0</v>
      </c>
      <c r="D315" s="9"/>
      <c r="E315" s="9"/>
      <c r="F315" s="10">
        <v>45191</v>
      </c>
      <c r="G315">
        <v>0</v>
      </c>
    </row>
    <row r="316" spans="1:7" x14ac:dyDescent="0.2">
      <c r="A316" s="7">
        <v>45192</v>
      </c>
      <c r="B316">
        <v>0</v>
      </c>
      <c r="D316" s="9"/>
      <c r="E316" s="9"/>
      <c r="F316" s="10">
        <v>45192</v>
      </c>
      <c r="G316">
        <v>0</v>
      </c>
    </row>
    <row r="317" spans="1:7" x14ac:dyDescent="0.2">
      <c r="A317" s="7">
        <v>45193</v>
      </c>
      <c r="B317">
        <v>0</v>
      </c>
      <c r="D317" s="9"/>
      <c r="E317" s="9"/>
      <c r="F317" s="10">
        <v>45193</v>
      </c>
      <c r="G317">
        <v>0</v>
      </c>
    </row>
    <row r="318" spans="1:7" x14ac:dyDescent="0.2">
      <c r="A318" s="7">
        <v>45194</v>
      </c>
      <c r="B318">
        <v>0</v>
      </c>
      <c r="D318" s="9"/>
      <c r="E318" s="9"/>
      <c r="F318" s="10">
        <v>45194</v>
      </c>
      <c r="G318">
        <v>0</v>
      </c>
    </row>
    <row r="319" spans="1:7" x14ac:dyDescent="0.2">
      <c r="A319" s="7">
        <v>45195</v>
      </c>
      <c r="B319">
        <v>0</v>
      </c>
      <c r="D319" s="9"/>
      <c r="E319" s="9"/>
      <c r="F319" s="10">
        <v>45195</v>
      </c>
      <c r="G319">
        <v>0</v>
      </c>
    </row>
    <row r="320" spans="1:7" x14ac:dyDescent="0.2">
      <c r="A320" s="7">
        <v>45196</v>
      </c>
      <c r="B320">
        <v>0</v>
      </c>
      <c r="D320" s="9"/>
      <c r="E320" s="9"/>
      <c r="F320" s="10">
        <v>45196</v>
      </c>
      <c r="G320">
        <v>0</v>
      </c>
    </row>
    <row r="321" spans="1:7" x14ac:dyDescent="0.2">
      <c r="A321" s="7">
        <v>45197</v>
      </c>
      <c r="B321">
        <v>0</v>
      </c>
      <c r="D321" s="9"/>
      <c r="E321" s="9"/>
      <c r="F321" s="10">
        <v>45197</v>
      </c>
      <c r="G321">
        <v>0</v>
      </c>
    </row>
    <row r="322" spans="1:7" x14ac:dyDescent="0.2">
      <c r="A322" s="7">
        <v>45198</v>
      </c>
      <c r="B322">
        <v>0</v>
      </c>
      <c r="D322" s="9"/>
      <c r="E322" s="9"/>
      <c r="F322" s="10">
        <v>45198</v>
      </c>
      <c r="G322">
        <v>0</v>
      </c>
    </row>
    <row r="323" spans="1:7" x14ac:dyDescent="0.2">
      <c r="A323" s="7">
        <v>45199</v>
      </c>
      <c r="B323">
        <v>1</v>
      </c>
      <c r="D323" s="9"/>
      <c r="E323" s="9"/>
      <c r="F323" s="10">
        <v>45199</v>
      </c>
      <c r="G323">
        <v>700</v>
      </c>
    </row>
    <row r="324" spans="1:7" x14ac:dyDescent="0.2">
      <c r="A324" s="7">
        <v>45200</v>
      </c>
      <c r="B324">
        <v>0</v>
      </c>
      <c r="D324" s="9"/>
      <c r="E324" s="9"/>
      <c r="F324" s="10">
        <v>45200</v>
      </c>
      <c r="G324">
        <v>0</v>
      </c>
    </row>
    <row r="325" spans="1:7" x14ac:dyDescent="0.2">
      <c r="A325" s="7">
        <v>45201</v>
      </c>
      <c r="B325">
        <v>0</v>
      </c>
      <c r="D325" s="9"/>
      <c r="E325" s="9"/>
      <c r="F325" s="10">
        <v>45201</v>
      </c>
      <c r="G325">
        <v>0</v>
      </c>
    </row>
    <row r="326" spans="1:7" x14ac:dyDescent="0.2">
      <c r="A326" s="7">
        <v>45202</v>
      </c>
      <c r="B326">
        <v>0</v>
      </c>
      <c r="D326" s="9"/>
      <c r="E326" s="9"/>
      <c r="F326" s="10">
        <v>45202</v>
      </c>
      <c r="G326">
        <v>0</v>
      </c>
    </row>
    <row r="327" spans="1:7" x14ac:dyDescent="0.2">
      <c r="A327" s="7">
        <v>45203</v>
      </c>
      <c r="B327">
        <v>0</v>
      </c>
      <c r="D327" s="9"/>
      <c r="E327" s="9"/>
      <c r="F327" s="10">
        <v>45203</v>
      </c>
      <c r="G327">
        <v>0</v>
      </c>
    </row>
    <row r="328" spans="1:7" x14ac:dyDescent="0.2">
      <c r="A328" s="7">
        <v>45204</v>
      </c>
      <c r="B328">
        <v>0</v>
      </c>
      <c r="D328" s="9"/>
      <c r="E328" s="9"/>
      <c r="F328" s="10">
        <v>45204</v>
      </c>
      <c r="G328">
        <v>0</v>
      </c>
    </row>
    <row r="329" spans="1:7" x14ac:dyDescent="0.2">
      <c r="A329" s="7">
        <v>45205</v>
      </c>
      <c r="B329">
        <v>0</v>
      </c>
      <c r="D329" s="9"/>
      <c r="E329" s="9"/>
      <c r="F329" s="10">
        <v>45205</v>
      </c>
      <c r="G329">
        <v>0</v>
      </c>
    </row>
    <row r="330" spans="1:7" x14ac:dyDescent="0.2">
      <c r="A330" s="7">
        <v>45206</v>
      </c>
      <c r="B330">
        <v>0</v>
      </c>
      <c r="D330" s="9"/>
      <c r="E330" s="9"/>
      <c r="F330" s="10">
        <v>45206</v>
      </c>
      <c r="G330">
        <v>0</v>
      </c>
    </row>
    <row r="331" spans="1:7" x14ac:dyDescent="0.2">
      <c r="A331" s="7">
        <v>45207</v>
      </c>
      <c r="B331">
        <v>0</v>
      </c>
      <c r="D331" s="9"/>
      <c r="E331" s="9"/>
      <c r="F331" s="10">
        <v>45207</v>
      </c>
      <c r="G331">
        <v>0</v>
      </c>
    </row>
    <row r="332" spans="1:7" x14ac:dyDescent="0.2">
      <c r="A332" s="7">
        <v>45208</v>
      </c>
      <c r="B332">
        <v>0</v>
      </c>
      <c r="D332" s="9"/>
      <c r="E332" s="9"/>
      <c r="F332" s="10">
        <v>45208</v>
      </c>
      <c r="G332">
        <v>0</v>
      </c>
    </row>
    <row r="333" spans="1:7" x14ac:dyDescent="0.2">
      <c r="A333" s="7">
        <v>45209</v>
      </c>
      <c r="B333">
        <v>0</v>
      </c>
      <c r="D333" s="9"/>
      <c r="E333" s="9"/>
      <c r="F333" s="10">
        <v>45209</v>
      </c>
      <c r="G333">
        <v>0</v>
      </c>
    </row>
    <row r="334" spans="1:7" x14ac:dyDescent="0.2">
      <c r="A334" s="7">
        <v>45210</v>
      </c>
      <c r="B334">
        <v>0</v>
      </c>
      <c r="D334" s="9"/>
      <c r="E334" s="9"/>
      <c r="F334" s="10">
        <v>45210</v>
      </c>
      <c r="G334">
        <v>0</v>
      </c>
    </row>
    <row r="335" spans="1:7" x14ac:dyDescent="0.2">
      <c r="A335" s="7">
        <v>45211</v>
      </c>
      <c r="B335">
        <v>0</v>
      </c>
      <c r="D335" s="9"/>
      <c r="E335" s="9"/>
      <c r="F335" s="10">
        <v>45211</v>
      </c>
      <c r="G335">
        <v>0</v>
      </c>
    </row>
    <row r="336" spans="1:7" x14ac:dyDescent="0.2">
      <c r="A336" s="7">
        <v>45212</v>
      </c>
      <c r="B336">
        <v>0</v>
      </c>
      <c r="D336" s="9"/>
      <c r="E336" s="9"/>
      <c r="F336" s="10">
        <v>45212</v>
      </c>
      <c r="G336">
        <v>0</v>
      </c>
    </row>
    <row r="337" spans="1:7" x14ac:dyDescent="0.2">
      <c r="A337" s="7">
        <v>45213</v>
      </c>
      <c r="B337">
        <v>1</v>
      </c>
      <c r="D337" s="9"/>
      <c r="E337" s="9"/>
      <c r="F337" s="10">
        <v>45213</v>
      </c>
      <c r="G337">
        <v>300</v>
      </c>
    </row>
    <row r="338" spans="1:7" x14ac:dyDescent="0.2">
      <c r="A338" s="7">
        <v>45214</v>
      </c>
      <c r="B338">
        <v>0</v>
      </c>
      <c r="D338" s="9"/>
      <c r="E338" s="9"/>
      <c r="F338" s="10">
        <v>45214</v>
      </c>
      <c r="G338">
        <v>0</v>
      </c>
    </row>
    <row r="339" spans="1:7" x14ac:dyDescent="0.2">
      <c r="A339" s="7">
        <v>45215</v>
      </c>
      <c r="B339">
        <v>1</v>
      </c>
      <c r="D339" s="9"/>
      <c r="E339" s="9"/>
      <c r="F339" s="10">
        <v>45215</v>
      </c>
      <c r="G339">
        <v>450</v>
      </c>
    </row>
    <row r="340" spans="1:7" x14ac:dyDescent="0.2">
      <c r="A340" s="7">
        <v>45216</v>
      </c>
      <c r="B340">
        <v>0</v>
      </c>
      <c r="D340" s="9"/>
      <c r="E340" s="9"/>
      <c r="F340" s="10">
        <v>45216</v>
      </c>
      <c r="G340">
        <v>0</v>
      </c>
    </row>
    <row r="341" spans="1:7" x14ac:dyDescent="0.2">
      <c r="A341" s="7">
        <v>45217</v>
      </c>
      <c r="B341">
        <v>0</v>
      </c>
      <c r="D341" s="9"/>
      <c r="E341" s="9"/>
      <c r="F341" s="10">
        <v>45217</v>
      </c>
      <c r="G341">
        <v>0</v>
      </c>
    </row>
    <row r="342" spans="1:7" x14ac:dyDescent="0.2">
      <c r="A342" s="7">
        <v>45218</v>
      </c>
      <c r="B342">
        <v>0</v>
      </c>
      <c r="D342" s="9"/>
      <c r="E342" s="9"/>
      <c r="F342" s="10">
        <v>45218</v>
      </c>
      <c r="G342">
        <v>0</v>
      </c>
    </row>
    <row r="343" spans="1:7" x14ac:dyDescent="0.2">
      <c r="A343" s="7">
        <v>45219</v>
      </c>
      <c r="B343">
        <v>0</v>
      </c>
      <c r="D343" s="9"/>
      <c r="E343" s="9"/>
      <c r="F343" s="10">
        <v>45219</v>
      </c>
      <c r="G343">
        <v>0</v>
      </c>
    </row>
    <row r="344" spans="1:7" x14ac:dyDescent="0.2">
      <c r="A344" s="7">
        <v>45220</v>
      </c>
      <c r="B344">
        <v>0</v>
      </c>
      <c r="D344" s="9"/>
      <c r="E344" s="9"/>
      <c r="F344" s="10">
        <v>45220</v>
      </c>
      <c r="G344">
        <v>0</v>
      </c>
    </row>
    <row r="345" spans="1:7" x14ac:dyDescent="0.2">
      <c r="A345" s="7">
        <v>45221</v>
      </c>
      <c r="B345">
        <v>0</v>
      </c>
      <c r="D345" s="9"/>
      <c r="E345" s="9"/>
      <c r="F345" s="10">
        <v>45221</v>
      </c>
      <c r="G345">
        <v>0</v>
      </c>
    </row>
    <row r="346" spans="1:7" x14ac:dyDescent="0.2">
      <c r="A346" s="7">
        <v>45222</v>
      </c>
      <c r="B346">
        <v>0</v>
      </c>
      <c r="D346" s="9"/>
      <c r="E346" s="9"/>
      <c r="F346" s="10">
        <v>45222</v>
      </c>
      <c r="G346">
        <v>0</v>
      </c>
    </row>
    <row r="347" spans="1:7" x14ac:dyDescent="0.2">
      <c r="A347" s="7">
        <v>45223</v>
      </c>
      <c r="B347">
        <v>0</v>
      </c>
      <c r="D347" s="9"/>
      <c r="E347" s="9"/>
      <c r="F347" s="10">
        <v>45223</v>
      </c>
      <c r="G347">
        <v>0</v>
      </c>
    </row>
    <row r="348" spans="1:7" x14ac:dyDescent="0.2">
      <c r="A348" s="7">
        <v>45224</v>
      </c>
      <c r="B348">
        <v>1</v>
      </c>
      <c r="D348" s="9"/>
      <c r="E348" s="9"/>
      <c r="F348" s="10">
        <v>45224</v>
      </c>
      <c r="G348">
        <v>700</v>
      </c>
    </row>
    <row r="349" spans="1:7" x14ac:dyDescent="0.2">
      <c r="A349" s="7">
        <v>45225</v>
      </c>
      <c r="B349">
        <v>0</v>
      </c>
      <c r="D349" s="9"/>
      <c r="E349" s="9"/>
      <c r="F349" s="10">
        <v>45225</v>
      </c>
      <c r="G349">
        <v>0</v>
      </c>
    </row>
    <row r="350" spans="1:7" x14ac:dyDescent="0.2">
      <c r="A350" s="7">
        <v>45226</v>
      </c>
      <c r="B350">
        <v>0</v>
      </c>
      <c r="D350" s="9"/>
      <c r="E350" s="9"/>
      <c r="F350" s="10">
        <v>45226</v>
      </c>
      <c r="G350">
        <v>0</v>
      </c>
    </row>
    <row r="351" spans="1:7" x14ac:dyDescent="0.2">
      <c r="A351" s="7">
        <v>45227</v>
      </c>
      <c r="B351">
        <v>0</v>
      </c>
      <c r="D351" s="9"/>
      <c r="E351" s="9"/>
      <c r="F351" s="10">
        <v>45227</v>
      </c>
      <c r="G351">
        <v>0</v>
      </c>
    </row>
    <row r="352" spans="1:7" x14ac:dyDescent="0.2">
      <c r="A352" s="7">
        <v>45228</v>
      </c>
      <c r="B352">
        <v>0</v>
      </c>
      <c r="D352" s="9"/>
      <c r="E352" s="9"/>
      <c r="F352" s="10">
        <v>45228</v>
      </c>
      <c r="G352">
        <v>0</v>
      </c>
    </row>
    <row r="353" spans="1:7" x14ac:dyDescent="0.2">
      <c r="A353" s="7">
        <v>45229</v>
      </c>
      <c r="B353">
        <v>0</v>
      </c>
      <c r="D353" s="9"/>
      <c r="E353" s="9"/>
      <c r="F353" s="10">
        <v>45229</v>
      </c>
      <c r="G353">
        <v>0</v>
      </c>
    </row>
    <row r="354" spans="1:7" x14ac:dyDescent="0.2">
      <c r="A354" s="7">
        <v>45230</v>
      </c>
      <c r="B354">
        <v>1</v>
      </c>
      <c r="D354" s="9"/>
      <c r="E354" s="9"/>
      <c r="F354" s="10">
        <v>45230</v>
      </c>
      <c r="G354">
        <v>300</v>
      </c>
    </row>
    <row r="355" spans="1:7" x14ac:dyDescent="0.2">
      <c r="A355" s="7">
        <v>45231</v>
      </c>
      <c r="B355">
        <v>0</v>
      </c>
      <c r="D355" s="9"/>
      <c r="E355" s="9"/>
      <c r="F355" s="10">
        <v>45231</v>
      </c>
      <c r="G355">
        <v>0</v>
      </c>
    </row>
    <row r="356" spans="1:7" x14ac:dyDescent="0.2">
      <c r="A356" s="7">
        <v>45232</v>
      </c>
      <c r="B356">
        <v>0</v>
      </c>
      <c r="D356" s="9"/>
      <c r="E356" s="9"/>
      <c r="F356" s="10">
        <v>45232</v>
      </c>
      <c r="G356">
        <v>0</v>
      </c>
    </row>
    <row r="357" spans="1:7" x14ac:dyDescent="0.2">
      <c r="A357" s="7">
        <v>45233</v>
      </c>
      <c r="B357">
        <v>1</v>
      </c>
      <c r="D357" s="9"/>
      <c r="E357" s="9"/>
      <c r="F357" s="10">
        <v>45233</v>
      </c>
      <c r="G357">
        <v>450</v>
      </c>
    </row>
    <row r="358" spans="1:7" x14ac:dyDescent="0.2">
      <c r="A358" s="7">
        <v>45234</v>
      </c>
      <c r="B358">
        <v>0</v>
      </c>
      <c r="D358" s="9"/>
      <c r="E358" s="9"/>
      <c r="F358" s="10">
        <v>45234</v>
      </c>
      <c r="G358">
        <v>0</v>
      </c>
    </row>
    <row r="359" spans="1:7" x14ac:dyDescent="0.2">
      <c r="A359" s="7">
        <v>45235</v>
      </c>
      <c r="B359">
        <v>0</v>
      </c>
      <c r="D359" s="9"/>
      <c r="E359" s="9"/>
      <c r="F359" s="10">
        <v>45235</v>
      </c>
      <c r="G359">
        <v>0</v>
      </c>
    </row>
    <row r="360" spans="1:7" x14ac:dyDescent="0.2">
      <c r="A360" s="7">
        <v>45236</v>
      </c>
      <c r="B360">
        <v>0</v>
      </c>
      <c r="D360" s="9"/>
      <c r="E360" s="9"/>
      <c r="F360" s="10">
        <v>45236</v>
      </c>
      <c r="G360">
        <v>0</v>
      </c>
    </row>
    <row r="361" spans="1:7" x14ac:dyDescent="0.2">
      <c r="A361" s="7">
        <v>45237</v>
      </c>
      <c r="B361">
        <v>0</v>
      </c>
      <c r="D361" s="9"/>
      <c r="E361" s="9"/>
      <c r="F361" s="10">
        <v>45237</v>
      </c>
      <c r="G361">
        <v>0</v>
      </c>
    </row>
    <row r="362" spans="1:7" x14ac:dyDescent="0.2">
      <c r="A362" s="7">
        <v>45238</v>
      </c>
      <c r="B362">
        <v>0</v>
      </c>
      <c r="D362" s="9"/>
      <c r="E362" s="9"/>
      <c r="F362" s="10">
        <v>45238</v>
      </c>
      <c r="G362">
        <v>0</v>
      </c>
    </row>
    <row r="363" spans="1:7" x14ac:dyDescent="0.2">
      <c r="A363" s="7">
        <v>45239</v>
      </c>
      <c r="B363">
        <v>0</v>
      </c>
      <c r="D363" s="9"/>
      <c r="E363" s="9"/>
      <c r="F363" s="10">
        <v>45239</v>
      </c>
      <c r="G363">
        <v>0</v>
      </c>
    </row>
    <row r="364" spans="1:7" x14ac:dyDescent="0.2">
      <c r="A364" s="7">
        <v>45240</v>
      </c>
      <c r="B364">
        <v>0</v>
      </c>
      <c r="D364" s="9"/>
      <c r="E364" s="9"/>
      <c r="F364" s="10">
        <v>45240</v>
      </c>
      <c r="G364">
        <v>0</v>
      </c>
    </row>
    <row r="365" spans="1:7" x14ac:dyDescent="0.2">
      <c r="A365" s="7">
        <v>45241</v>
      </c>
      <c r="B365">
        <v>0</v>
      </c>
      <c r="D365" s="9"/>
      <c r="E365" s="9"/>
      <c r="F365" s="10">
        <v>45241</v>
      </c>
      <c r="G365">
        <v>0</v>
      </c>
    </row>
    <row r="366" spans="1:7" x14ac:dyDescent="0.2">
      <c r="A366" s="7">
        <v>45242</v>
      </c>
      <c r="B366">
        <v>0</v>
      </c>
      <c r="D366" s="9"/>
      <c r="E366" s="9"/>
      <c r="F366" s="10">
        <v>45242</v>
      </c>
      <c r="G366">
        <v>0</v>
      </c>
    </row>
    <row r="367" spans="1:7" x14ac:dyDescent="0.2">
      <c r="A367" s="7">
        <v>45243</v>
      </c>
      <c r="B367">
        <v>0</v>
      </c>
      <c r="D367" s="9"/>
      <c r="E367" s="9"/>
      <c r="F367" s="10">
        <v>45243</v>
      </c>
      <c r="G367">
        <v>0</v>
      </c>
    </row>
    <row r="368" spans="1:7" x14ac:dyDescent="0.2">
      <c r="A368" s="7">
        <v>45244</v>
      </c>
      <c r="B368">
        <v>0</v>
      </c>
      <c r="D368" s="9"/>
      <c r="E368" s="9"/>
      <c r="F368" s="10">
        <v>45244</v>
      </c>
      <c r="G368">
        <v>0</v>
      </c>
    </row>
    <row r="369" spans="1:7" x14ac:dyDescent="0.2">
      <c r="A369" s="7">
        <v>45245</v>
      </c>
      <c r="B369">
        <v>0</v>
      </c>
      <c r="D369" s="9"/>
      <c r="E369" s="9"/>
      <c r="F369" s="10">
        <v>45245</v>
      </c>
      <c r="G369">
        <v>0</v>
      </c>
    </row>
    <row r="370" spans="1:7" x14ac:dyDescent="0.2">
      <c r="A370" s="7">
        <v>45246</v>
      </c>
      <c r="B370">
        <v>0</v>
      </c>
      <c r="D370" s="9"/>
      <c r="E370" s="9"/>
      <c r="F370" s="10">
        <v>45246</v>
      </c>
      <c r="G370">
        <v>0</v>
      </c>
    </row>
    <row r="371" spans="1:7" x14ac:dyDescent="0.2">
      <c r="A371" s="7">
        <v>45247</v>
      </c>
      <c r="B371">
        <v>0</v>
      </c>
      <c r="D371" s="9"/>
      <c r="E371" s="9"/>
      <c r="F371" s="10">
        <v>45247</v>
      </c>
      <c r="G371">
        <v>0</v>
      </c>
    </row>
    <row r="372" spans="1:7" x14ac:dyDescent="0.2">
      <c r="A372" s="7">
        <v>45248</v>
      </c>
      <c r="B372">
        <v>0</v>
      </c>
      <c r="D372" s="9"/>
      <c r="E372" s="9"/>
      <c r="F372" s="10">
        <v>45248</v>
      </c>
      <c r="G372">
        <v>0</v>
      </c>
    </row>
    <row r="373" spans="1:7" x14ac:dyDescent="0.2">
      <c r="A373" s="7">
        <v>45249</v>
      </c>
      <c r="B373">
        <v>0</v>
      </c>
      <c r="D373" s="9"/>
      <c r="E373" s="9"/>
      <c r="F373" s="10">
        <v>45249</v>
      </c>
      <c r="G373">
        <v>0</v>
      </c>
    </row>
    <row r="374" spans="1:7" x14ac:dyDescent="0.2">
      <c r="A374" s="7">
        <v>45250</v>
      </c>
      <c r="B374">
        <v>0</v>
      </c>
      <c r="D374" s="9"/>
      <c r="E374" s="9"/>
      <c r="F374" s="10">
        <v>45250</v>
      </c>
      <c r="G374">
        <v>0</v>
      </c>
    </row>
    <row r="375" spans="1:7" x14ac:dyDescent="0.2">
      <c r="A375" s="7">
        <v>45251</v>
      </c>
      <c r="B375">
        <v>0</v>
      </c>
      <c r="D375" s="9"/>
      <c r="E375" s="9"/>
      <c r="F375" s="10">
        <v>45251</v>
      </c>
      <c r="G375">
        <v>0</v>
      </c>
    </row>
    <row r="376" spans="1:7" x14ac:dyDescent="0.2">
      <c r="A376" s="7">
        <v>45252</v>
      </c>
      <c r="B376">
        <v>0</v>
      </c>
      <c r="D376" s="9"/>
      <c r="E376" s="9"/>
      <c r="F376" s="10">
        <v>45252</v>
      </c>
      <c r="G376">
        <v>0</v>
      </c>
    </row>
    <row r="377" spans="1:7" x14ac:dyDescent="0.2">
      <c r="A377" s="7">
        <v>45253</v>
      </c>
      <c r="B377">
        <v>0</v>
      </c>
      <c r="D377" s="9"/>
      <c r="E377" s="9"/>
      <c r="F377" s="10">
        <v>45253</v>
      </c>
      <c r="G377">
        <v>0</v>
      </c>
    </row>
    <row r="378" spans="1:7" x14ac:dyDescent="0.2">
      <c r="A378" s="7">
        <v>45254</v>
      </c>
      <c r="B378">
        <v>0</v>
      </c>
      <c r="D378" s="9"/>
      <c r="E378" s="9"/>
      <c r="F378" s="10">
        <v>45254</v>
      </c>
      <c r="G378">
        <v>0</v>
      </c>
    </row>
    <row r="379" spans="1:7" x14ac:dyDescent="0.2">
      <c r="A379" s="7">
        <v>45255</v>
      </c>
      <c r="B379">
        <v>0</v>
      </c>
      <c r="D379" s="9"/>
      <c r="E379" s="9"/>
      <c r="F379" s="10">
        <v>45255</v>
      </c>
      <c r="G379">
        <v>0</v>
      </c>
    </row>
    <row r="380" spans="1:7" x14ac:dyDescent="0.2">
      <c r="A380" s="7">
        <v>45256</v>
      </c>
      <c r="B380">
        <v>0</v>
      </c>
      <c r="D380" s="9"/>
      <c r="E380" s="9"/>
      <c r="F380" s="10">
        <v>45256</v>
      </c>
      <c r="G380">
        <v>0</v>
      </c>
    </row>
    <row r="381" spans="1:7" x14ac:dyDescent="0.2">
      <c r="A381" s="7">
        <v>45257</v>
      </c>
      <c r="B381">
        <v>0</v>
      </c>
      <c r="D381" s="9"/>
      <c r="E381" s="9"/>
      <c r="F381" s="10">
        <v>45257</v>
      </c>
      <c r="G381">
        <v>0</v>
      </c>
    </row>
    <row r="382" spans="1:7" x14ac:dyDescent="0.2">
      <c r="A382" s="7">
        <v>45258</v>
      </c>
      <c r="B382">
        <v>0</v>
      </c>
      <c r="D382" s="9"/>
      <c r="E382" s="9"/>
      <c r="F382" s="10">
        <v>45258</v>
      </c>
      <c r="G382">
        <v>0</v>
      </c>
    </row>
    <row r="383" spans="1:7" x14ac:dyDescent="0.2">
      <c r="A383" s="7">
        <v>45259</v>
      </c>
      <c r="B383">
        <v>0</v>
      </c>
      <c r="D383" s="9"/>
      <c r="E383" s="9"/>
      <c r="F383" s="10">
        <v>45259</v>
      </c>
      <c r="G383">
        <v>0</v>
      </c>
    </row>
    <row r="384" spans="1:7" x14ac:dyDescent="0.2">
      <c r="A384" s="7">
        <v>45260</v>
      </c>
      <c r="B384">
        <v>1</v>
      </c>
      <c r="D384" s="9"/>
      <c r="E384" s="9"/>
      <c r="F384" s="10">
        <v>45260</v>
      </c>
      <c r="G384">
        <v>700</v>
      </c>
    </row>
    <row r="385" spans="1:7" x14ac:dyDescent="0.2">
      <c r="A385" s="7">
        <v>45261</v>
      </c>
      <c r="B385">
        <v>0</v>
      </c>
      <c r="D385" s="9"/>
      <c r="E385" s="9"/>
      <c r="F385" s="10">
        <v>45261</v>
      </c>
      <c r="G385">
        <v>0</v>
      </c>
    </row>
    <row r="386" spans="1:7" x14ac:dyDescent="0.2">
      <c r="A386" s="7">
        <v>45262</v>
      </c>
      <c r="B386">
        <v>0</v>
      </c>
      <c r="D386" s="9"/>
      <c r="E386" s="9"/>
      <c r="F386" s="10">
        <v>45262</v>
      </c>
      <c r="G386">
        <v>0</v>
      </c>
    </row>
    <row r="387" spans="1:7" x14ac:dyDescent="0.2">
      <c r="A387" s="7">
        <v>45263</v>
      </c>
      <c r="B387">
        <v>1</v>
      </c>
      <c r="D387" s="9"/>
      <c r="E387" s="9"/>
      <c r="F387" s="10">
        <v>45263</v>
      </c>
      <c r="G387">
        <v>300</v>
      </c>
    </row>
    <row r="388" spans="1:7" x14ac:dyDescent="0.2">
      <c r="A388" s="7">
        <v>45264</v>
      </c>
      <c r="B388">
        <v>0</v>
      </c>
      <c r="D388" s="9"/>
      <c r="E388" s="9"/>
      <c r="F388" s="10">
        <v>45264</v>
      </c>
      <c r="G388">
        <v>0</v>
      </c>
    </row>
    <row r="389" spans="1:7" x14ac:dyDescent="0.2">
      <c r="A389" s="7">
        <v>45265</v>
      </c>
      <c r="B389">
        <v>0</v>
      </c>
      <c r="D389" s="9"/>
      <c r="E389" s="9"/>
      <c r="F389" s="10">
        <v>45265</v>
      </c>
      <c r="G389">
        <v>0</v>
      </c>
    </row>
    <row r="390" spans="1:7" x14ac:dyDescent="0.2">
      <c r="A390" s="7">
        <v>45266</v>
      </c>
      <c r="B390">
        <v>0</v>
      </c>
      <c r="D390" s="9"/>
      <c r="E390" s="9"/>
      <c r="F390" s="10">
        <v>45266</v>
      </c>
      <c r="G390">
        <v>0</v>
      </c>
    </row>
    <row r="391" spans="1:7" x14ac:dyDescent="0.2">
      <c r="A391" s="7">
        <v>45267</v>
      </c>
      <c r="B391">
        <v>0</v>
      </c>
      <c r="D391" s="9"/>
      <c r="E391" s="9"/>
      <c r="F391" s="10">
        <v>45267</v>
      </c>
      <c r="G391">
        <v>0</v>
      </c>
    </row>
    <row r="392" spans="1:7" x14ac:dyDescent="0.2">
      <c r="A392" s="7">
        <v>45268</v>
      </c>
      <c r="B392">
        <v>0</v>
      </c>
      <c r="D392" s="9"/>
      <c r="E392" s="9"/>
      <c r="F392" s="10">
        <v>45268</v>
      </c>
      <c r="G392">
        <v>0</v>
      </c>
    </row>
    <row r="393" spans="1:7" x14ac:dyDescent="0.2">
      <c r="A393" s="7">
        <v>45269</v>
      </c>
      <c r="B393">
        <v>1</v>
      </c>
      <c r="D393" s="9"/>
      <c r="E393" s="9"/>
      <c r="F393" s="10">
        <v>45269</v>
      </c>
      <c r="G393">
        <v>450</v>
      </c>
    </row>
    <row r="394" spans="1:7" x14ac:dyDescent="0.2">
      <c r="A394" s="7">
        <v>45270</v>
      </c>
      <c r="B394">
        <v>0</v>
      </c>
      <c r="D394" s="9"/>
      <c r="E394" s="9"/>
      <c r="F394" s="10">
        <v>45270</v>
      </c>
      <c r="G394">
        <v>0</v>
      </c>
    </row>
    <row r="395" spans="1:7" x14ac:dyDescent="0.2">
      <c r="A395" s="7">
        <v>45271</v>
      </c>
      <c r="B395">
        <v>0</v>
      </c>
      <c r="D395" s="9"/>
      <c r="E395" s="9"/>
      <c r="F395" s="10">
        <v>45271</v>
      </c>
      <c r="G395">
        <v>0</v>
      </c>
    </row>
    <row r="396" spans="1:7" x14ac:dyDescent="0.2">
      <c r="A396" s="7">
        <v>45272</v>
      </c>
      <c r="B396">
        <v>0</v>
      </c>
      <c r="D396" s="9"/>
      <c r="E396" s="9"/>
      <c r="F396" s="10">
        <v>45272</v>
      </c>
      <c r="G396">
        <v>0</v>
      </c>
    </row>
    <row r="397" spans="1:7" x14ac:dyDescent="0.2">
      <c r="A397" s="7">
        <v>45273</v>
      </c>
      <c r="B397">
        <v>0</v>
      </c>
      <c r="D397" s="9"/>
      <c r="E397" s="9"/>
      <c r="F397" s="10">
        <v>45273</v>
      </c>
      <c r="G397">
        <v>0</v>
      </c>
    </row>
    <row r="398" spans="1:7" x14ac:dyDescent="0.2">
      <c r="A398" s="7">
        <v>45274</v>
      </c>
      <c r="B398">
        <v>0</v>
      </c>
      <c r="D398" s="9"/>
      <c r="E398" s="9"/>
      <c r="F398" s="10">
        <v>45274</v>
      </c>
      <c r="G398">
        <v>0</v>
      </c>
    </row>
    <row r="399" spans="1:7" x14ac:dyDescent="0.2">
      <c r="A399" s="7">
        <v>45275</v>
      </c>
      <c r="B399">
        <v>0</v>
      </c>
      <c r="D399" s="9"/>
      <c r="E399" s="9"/>
      <c r="F399" s="10">
        <v>45275</v>
      </c>
      <c r="G399">
        <v>0</v>
      </c>
    </row>
    <row r="400" spans="1:7" x14ac:dyDescent="0.2">
      <c r="A400" s="7">
        <v>45276</v>
      </c>
      <c r="B400">
        <v>0</v>
      </c>
      <c r="D400" s="9"/>
      <c r="E400" s="9"/>
      <c r="F400" s="10">
        <v>45276</v>
      </c>
      <c r="G400">
        <v>0</v>
      </c>
    </row>
    <row r="401" spans="1:7" x14ac:dyDescent="0.2">
      <c r="A401" s="7">
        <v>45277</v>
      </c>
      <c r="B401">
        <v>0</v>
      </c>
      <c r="D401" s="9"/>
      <c r="E401" s="9"/>
      <c r="F401" s="10">
        <v>45277</v>
      </c>
      <c r="G401">
        <v>0</v>
      </c>
    </row>
    <row r="402" spans="1:7" x14ac:dyDescent="0.2">
      <c r="A402" s="7">
        <v>45278</v>
      </c>
      <c r="B402">
        <v>0</v>
      </c>
      <c r="D402" s="9"/>
      <c r="E402" s="9"/>
      <c r="F402" s="10">
        <v>45278</v>
      </c>
      <c r="G402">
        <v>0</v>
      </c>
    </row>
    <row r="403" spans="1:7" x14ac:dyDescent="0.2">
      <c r="A403" s="7">
        <v>45279</v>
      </c>
      <c r="B403">
        <v>0</v>
      </c>
      <c r="D403" s="9"/>
      <c r="E403" s="9"/>
      <c r="F403" s="10">
        <v>45279</v>
      </c>
      <c r="G403">
        <v>0</v>
      </c>
    </row>
    <row r="404" spans="1:7" x14ac:dyDescent="0.2">
      <c r="A404" s="7">
        <v>45280</v>
      </c>
      <c r="B404">
        <v>0</v>
      </c>
      <c r="D404" s="9"/>
      <c r="E404" s="9"/>
      <c r="F404" s="10">
        <v>45280</v>
      </c>
      <c r="G404">
        <v>0</v>
      </c>
    </row>
    <row r="405" spans="1:7" x14ac:dyDescent="0.2">
      <c r="A405" s="7">
        <v>45281</v>
      </c>
      <c r="B405">
        <v>0</v>
      </c>
      <c r="D405" s="9"/>
      <c r="E405" s="9"/>
      <c r="F405" s="10">
        <v>45281</v>
      </c>
      <c r="G405">
        <v>0</v>
      </c>
    </row>
    <row r="406" spans="1:7" x14ac:dyDescent="0.2">
      <c r="A406" s="7">
        <v>45282</v>
      </c>
      <c r="B406">
        <v>0</v>
      </c>
      <c r="D406" s="9"/>
      <c r="E406" s="9"/>
      <c r="F406" s="10">
        <v>45282</v>
      </c>
      <c r="G406">
        <v>0</v>
      </c>
    </row>
    <row r="407" spans="1:7" x14ac:dyDescent="0.2">
      <c r="A407" s="7">
        <v>45283</v>
      </c>
      <c r="B407">
        <v>0</v>
      </c>
      <c r="D407" s="9"/>
      <c r="E407" s="9"/>
      <c r="F407" s="10">
        <v>45283</v>
      </c>
      <c r="G407">
        <v>0</v>
      </c>
    </row>
    <row r="408" spans="1:7" x14ac:dyDescent="0.2">
      <c r="A408" s="7">
        <v>45284</v>
      </c>
      <c r="B408">
        <v>0</v>
      </c>
      <c r="D408" s="9"/>
      <c r="E408" s="9"/>
      <c r="F408" s="10">
        <v>45284</v>
      </c>
      <c r="G408">
        <v>0</v>
      </c>
    </row>
    <row r="409" spans="1:7" x14ac:dyDescent="0.2">
      <c r="A409" s="7">
        <v>45285</v>
      </c>
      <c r="B409">
        <v>0</v>
      </c>
      <c r="D409" s="9"/>
      <c r="E409" s="9"/>
      <c r="F409" s="10">
        <v>45285</v>
      </c>
      <c r="G409">
        <v>0</v>
      </c>
    </row>
    <row r="410" spans="1:7" x14ac:dyDescent="0.2">
      <c r="A410" s="7">
        <v>45286</v>
      </c>
      <c r="B410">
        <v>0</v>
      </c>
      <c r="D410" s="9"/>
      <c r="E410" s="9"/>
      <c r="F410" s="10">
        <v>45286</v>
      </c>
      <c r="G410">
        <v>0</v>
      </c>
    </row>
    <row r="411" spans="1:7" x14ac:dyDescent="0.2">
      <c r="A411" s="7">
        <v>45287</v>
      </c>
      <c r="B411">
        <v>0</v>
      </c>
      <c r="D411" s="9"/>
      <c r="E411" s="9"/>
      <c r="F411" s="10">
        <v>45287</v>
      </c>
      <c r="G411">
        <v>0</v>
      </c>
    </row>
    <row r="412" spans="1:7" x14ac:dyDescent="0.2">
      <c r="A412" s="7">
        <v>45288</v>
      </c>
      <c r="B412">
        <v>0</v>
      </c>
      <c r="D412" s="9"/>
      <c r="E412" s="9"/>
      <c r="F412" s="10">
        <v>45288</v>
      </c>
      <c r="G412">
        <v>0</v>
      </c>
    </row>
    <row r="413" spans="1:7" x14ac:dyDescent="0.2">
      <c r="A413" s="7">
        <v>45289</v>
      </c>
      <c r="B413">
        <v>0</v>
      </c>
      <c r="D413" s="9"/>
      <c r="E413" s="9"/>
      <c r="F413" s="10">
        <v>45289</v>
      </c>
      <c r="G413">
        <v>0</v>
      </c>
    </row>
    <row r="414" spans="1:7" x14ac:dyDescent="0.2">
      <c r="A414" s="7">
        <v>45290</v>
      </c>
      <c r="B414">
        <v>0</v>
      </c>
      <c r="D414" s="9"/>
      <c r="E414" s="9"/>
      <c r="F414" s="10">
        <v>45290</v>
      </c>
      <c r="G414">
        <v>0</v>
      </c>
    </row>
    <row r="415" spans="1:7" x14ac:dyDescent="0.2">
      <c r="A415" s="7">
        <v>45291</v>
      </c>
      <c r="B415">
        <v>0</v>
      </c>
      <c r="D415" s="9"/>
      <c r="E415" s="9"/>
      <c r="F415" s="10">
        <v>45291</v>
      </c>
      <c r="G415">
        <v>0</v>
      </c>
    </row>
    <row r="416" spans="1:7" x14ac:dyDescent="0.2">
      <c r="A416" s="7">
        <v>45292</v>
      </c>
      <c r="B416">
        <v>0</v>
      </c>
      <c r="D416" s="9"/>
      <c r="E416" s="9"/>
      <c r="F416" s="10">
        <v>45292</v>
      </c>
      <c r="G416">
        <v>0</v>
      </c>
    </row>
    <row r="417" spans="1:7" x14ac:dyDescent="0.2">
      <c r="A417" s="7">
        <v>45293</v>
      </c>
      <c r="B417">
        <v>0</v>
      </c>
      <c r="D417" s="9"/>
      <c r="E417" s="9"/>
      <c r="F417" s="10">
        <v>45293</v>
      </c>
      <c r="G417">
        <v>0</v>
      </c>
    </row>
    <row r="418" spans="1:7" x14ac:dyDescent="0.2">
      <c r="A418" s="7">
        <v>45294</v>
      </c>
      <c r="B418">
        <v>0</v>
      </c>
      <c r="D418" s="9"/>
      <c r="E418" s="9"/>
      <c r="F418" s="10">
        <v>45294</v>
      </c>
      <c r="G418">
        <v>0</v>
      </c>
    </row>
    <row r="419" spans="1:7" x14ac:dyDescent="0.2">
      <c r="A419" s="7">
        <v>45295</v>
      </c>
      <c r="B419">
        <v>0</v>
      </c>
      <c r="D419" s="9"/>
      <c r="E419" s="9"/>
      <c r="F419" s="10">
        <v>45295</v>
      </c>
      <c r="G419">
        <v>0</v>
      </c>
    </row>
    <row r="420" spans="1:7" x14ac:dyDescent="0.2">
      <c r="A420" s="7">
        <v>45296</v>
      </c>
      <c r="B420">
        <v>0</v>
      </c>
      <c r="D420" s="9"/>
      <c r="E420" s="9"/>
      <c r="F420" s="10">
        <v>45296</v>
      </c>
      <c r="G420">
        <v>0</v>
      </c>
    </row>
    <row r="421" spans="1:7" x14ac:dyDescent="0.2">
      <c r="A421" s="7">
        <v>45297</v>
      </c>
      <c r="B421">
        <v>0</v>
      </c>
      <c r="D421" s="9"/>
      <c r="E421" s="9"/>
      <c r="F421" s="10">
        <v>45297</v>
      </c>
      <c r="G421">
        <v>0</v>
      </c>
    </row>
    <row r="422" spans="1:7" x14ac:dyDescent="0.2">
      <c r="A422" s="7">
        <v>45298</v>
      </c>
      <c r="B422">
        <v>0</v>
      </c>
      <c r="D422" s="9"/>
      <c r="E422" s="9"/>
      <c r="F422" s="10">
        <v>45298</v>
      </c>
      <c r="G422">
        <v>0</v>
      </c>
    </row>
    <row r="423" spans="1:7" x14ac:dyDescent="0.2">
      <c r="A423" s="7">
        <v>45299</v>
      </c>
      <c r="B423">
        <v>1</v>
      </c>
      <c r="D423" s="9"/>
      <c r="E423" s="9"/>
      <c r="F423" s="10">
        <v>45299</v>
      </c>
      <c r="G423">
        <v>700</v>
      </c>
    </row>
    <row r="424" spans="1:7" x14ac:dyDescent="0.2">
      <c r="A424" s="7">
        <v>45300</v>
      </c>
      <c r="B424">
        <v>0</v>
      </c>
      <c r="D424" s="9"/>
      <c r="E424" s="9"/>
      <c r="F424" s="10">
        <v>45300</v>
      </c>
      <c r="G424">
        <v>0</v>
      </c>
    </row>
    <row r="425" spans="1:7" x14ac:dyDescent="0.2">
      <c r="A425" s="7">
        <v>45301</v>
      </c>
      <c r="B425">
        <v>0</v>
      </c>
      <c r="D425" s="9"/>
      <c r="E425" s="9"/>
      <c r="F425" s="10">
        <v>45301</v>
      </c>
      <c r="G425">
        <v>0</v>
      </c>
    </row>
    <row r="426" spans="1:7" x14ac:dyDescent="0.2">
      <c r="A426" s="7">
        <v>45302</v>
      </c>
      <c r="B426">
        <v>0</v>
      </c>
      <c r="D426" s="9"/>
      <c r="E426" s="9"/>
      <c r="F426" s="10">
        <v>45302</v>
      </c>
      <c r="G426">
        <v>0</v>
      </c>
    </row>
    <row r="427" spans="1:7" x14ac:dyDescent="0.2">
      <c r="A427" s="7">
        <v>45303</v>
      </c>
      <c r="B427">
        <v>0</v>
      </c>
      <c r="D427" s="9"/>
      <c r="E427" s="9"/>
      <c r="F427" s="10">
        <v>45303</v>
      </c>
      <c r="G427">
        <v>0</v>
      </c>
    </row>
    <row r="428" spans="1:7" x14ac:dyDescent="0.2">
      <c r="A428" s="7">
        <v>45304</v>
      </c>
      <c r="B428">
        <v>0</v>
      </c>
      <c r="D428" s="9"/>
      <c r="E428" s="9"/>
      <c r="F428" s="10">
        <v>45304</v>
      </c>
      <c r="G428">
        <v>0</v>
      </c>
    </row>
    <row r="429" spans="1:7" x14ac:dyDescent="0.2">
      <c r="A429" s="7">
        <v>45305</v>
      </c>
      <c r="B429">
        <v>0</v>
      </c>
      <c r="D429" s="9"/>
      <c r="E429" s="9"/>
      <c r="F429" s="10">
        <v>45305</v>
      </c>
      <c r="G429">
        <v>0</v>
      </c>
    </row>
    <row r="430" spans="1:7" x14ac:dyDescent="0.2">
      <c r="A430" s="7">
        <v>45306</v>
      </c>
      <c r="B430">
        <v>0</v>
      </c>
      <c r="D430" s="9"/>
      <c r="E430" s="9"/>
      <c r="F430" s="10">
        <v>45306</v>
      </c>
      <c r="G430">
        <v>0</v>
      </c>
    </row>
    <row r="431" spans="1:7" x14ac:dyDescent="0.2">
      <c r="A431" s="7">
        <v>45307</v>
      </c>
      <c r="B431">
        <v>1</v>
      </c>
      <c r="D431" s="9"/>
      <c r="E431" s="9"/>
      <c r="F431" s="10">
        <v>45307</v>
      </c>
      <c r="G431">
        <v>300</v>
      </c>
    </row>
    <row r="432" spans="1:7" x14ac:dyDescent="0.2">
      <c r="A432" s="7">
        <v>45308</v>
      </c>
      <c r="B432">
        <v>0</v>
      </c>
      <c r="D432" s="9"/>
      <c r="E432" s="9"/>
      <c r="F432" s="10">
        <v>45308</v>
      </c>
      <c r="G432">
        <v>0</v>
      </c>
    </row>
    <row r="433" spans="1:7" x14ac:dyDescent="0.2">
      <c r="A433" s="7">
        <v>45309</v>
      </c>
      <c r="B433">
        <v>0</v>
      </c>
      <c r="D433" s="9"/>
      <c r="E433" s="9"/>
      <c r="F433" s="10">
        <v>45309</v>
      </c>
      <c r="G433">
        <v>0</v>
      </c>
    </row>
    <row r="434" spans="1:7" x14ac:dyDescent="0.2">
      <c r="A434" s="7">
        <v>45310</v>
      </c>
      <c r="B434">
        <v>0</v>
      </c>
      <c r="D434" s="9"/>
      <c r="E434" s="9"/>
      <c r="F434" s="10">
        <v>45310</v>
      </c>
      <c r="G434">
        <v>0</v>
      </c>
    </row>
    <row r="435" spans="1:7" x14ac:dyDescent="0.2">
      <c r="A435" s="7">
        <v>45311</v>
      </c>
      <c r="B435">
        <v>0</v>
      </c>
      <c r="D435" s="9"/>
      <c r="E435" s="9"/>
      <c r="F435" s="10">
        <v>45311</v>
      </c>
      <c r="G435">
        <v>0</v>
      </c>
    </row>
    <row r="436" spans="1:7" x14ac:dyDescent="0.2">
      <c r="A436" s="7">
        <v>45312</v>
      </c>
      <c r="B436">
        <v>0</v>
      </c>
      <c r="D436" s="9"/>
      <c r="E436" s="9"/>
      <c r="F436" s="10">
        <v>45312</v>
      </c>
      <c r="G436">
        <v>0</v>
      </c>
    </row>
    <row r="437" spans="1:7" x14ac:dyDescent="0.2">
      <c r="A437" s="7">
        <v>45313</v>
      </c>
      <c r="B437">
        <v>2</v>
      </c>
      <c r="D437" s="9"/>
      <c r="E437" s="9"/>
      <c r="F437" s="10">
        <v>45313</v>
      </c>
      <c r="G437">
        <v>1150</v>
      </c>
    </row>
    <row r="438" spans="1:7" x14ac:dyDescent="0.2">
      <c r="A438" s="7">
        <v>45314</v>
      </c>
      <c r="B438">
        <v>0</v>
      </c>
      <c r="D438" s="9"/>
      <c r="E438" s="9"/>
      <c r="F438" s="10">
        <v>45314</v>
      </c>
      <c r="G438">
        <v>0</v>
      </c>
    </row>
    <row r="439" spans="1:7" x14ac:dyDescent="0.2">
      <c r="A439" s="7">
        <v>45315</v>
      </c>
      <c r="B439">
        <v>1</v>
      </c>
      <c r="D439" s="9"/>
      <c r="E439" s="9"/>
      <c r="F439" s="10">
        <v>45315</v>
      </c>
      <c r="G439">
        <v>300</v>
      </c>
    </row>
    <row r="440" spans="1:7" x14ac:dyDescent="0.2">
      <c r="A440" s="7">
        <v>45316</v>
      </c>
      <c r="B440">
        <v>0</v>
      </c>
      <c r="D440" s="9"/>
      <c r="E440" s="9"/>
      <c r="F440" s="10">
        <v>45316</v>
      </c>
      <c r="G440">
        <v>0</v>
      </c>
    </row>
    <row r="441" spans="1:7" x14ac:dyDescent="0.2">
      <c r="A441" s="7">
        <v>45317</v>
      </c>
      <c r="B441">
        <v>0</v>
      </c>
      <c r="D441" s="9"/>
      <c r="E441" s="9"/>
      <c r="F441" s="10">
        <v>45317</v>
      </c>
      <c r="G441">
        <v>0</v>
      </c>
    </row>
    <row r="442" spans="1:7" x14ac:dyDescent="0.2">
      <c r="A442" s="7">
        <v>45318</v>
      </c>
      <c r="B442">
        <v>0</v>
      </c>
      <c r="D442" s="9"/>
      <c r="E442" s="9"/>
      <c r="F442" s="10">
        <v>45318</v>
      </c>
      <c r="G442">
        <v>0</v>
      </c>
    </row>
    <row r="443" spans="1:7" x14ac:dyDescent="0.2">
      <c r="A443" s="7">
        <v>45319</v>
      </c>
      <c r="B443">
        <v>0</v>
      </c>
      <c r="D443" s="9"/>
      <c r="E443" s="9"/>
      <c r="F443" s="10">
        <v>45319</v>
      </c>
      <c r="G443">
        <v>0</v>
      </c>
    </row>
    <row r="444" spans="1:7" x14ac:dyDescent="0.2">
      <c r="A444" s="7">
        <v>45320</v>
      </c>
      <c r="B444">
        <v>0</v>
      </c>
      <c r="D444" s="9"/>
      <c r="E444" s="9"/>
      <c r="F444" s="10">
        <v>45320</v>
      </c>
      <c r="G444">
        <v>0</v>
      </c>
    </row>
    <row r="445" spans="1:7" x14ac:dyDescent="0.2">
      <c r="A445" s="7">
        <v>45321</v>
      </c>
      <c r="B445">
        <v>0</v>
      </c>
      <c r="D445" s="9"/>
      <c r="E445" s="9"/>
      <c r="F445" s="10">
        <v>45321</v>
      </c>
      <c r="G445">
        <v>0</v>
      </c>
    </row>
    <row r="446" spans="1:7" x14ac:dyDescent="0.2">
      <c r="A446" s="7">
        <v>45322</v>
      </c>
      <c r="B446">
        <v>2</v>
      </c>
      <c r="D446" s="9"/>
      <c r="E446" s="9"/>
      <c r="F446" s="10">
        <v>45322</v>
      </c>
      <c r="G446">
        <v>1150</v>
      </c>
    </row>
    <row r="447" spans="1:7" x14ac:dyDescent="0.2">
      <c r="A447" s="7">
        <v>45323</v>
      </c>
      <c r="B447">
        <v>0</v>
      </c>
      <c r="D447" s="9"/>
      <c r="E447" s="9"/>
      <c r="F447" s="10">
        <v>45323</v>
      </c>
      <c r="G447">
        <v>0</v>
      </c>
    </row>
    <row r="448" spans="1:7" x14ac:dyDescent="0.2">
      <c r="A448" s="7">
        <v>45324</v>
      </c>
      <c r="B448">
        <v>0</v>
      </c>
      <c r="D448" s="9"/>
      <c r="E448" s="9"/>
      <c r="F448" s="10">
        <v>45324</v>
      </c>
      <c r="G448">
        <v>0</v>
      </c>
    </row>
    <row r="449" spans="1:7" x14ac:dyDescent="0.2">
      <c r="A449" s="7">
        <v>45325</v>
      </c>
      <c r="B449">
        <v>0</v>
      </c>
      <c r="D449" s="9"/>
      <c r="E449" s="9"/>
      <c r="F449" s="10">
        <v>45325</v>
      </c>
      <c r="G449">
        <v>0</v>
      </c>
    </row>
    <row r="450" spans="1:7" x14ac:dyDescent="0.2">
      <c r="A450" s="7">
        <v>45326</v>
      </c>
      <c r="B450">
        <v>0</v>
      </c>
      <c r="D450" s="9"/>
      <c r="E450" s="9"/>
      <c r="F450" s="10">
        <v>45326</v>
      </c>
      <c r="G450">
        <v>0</v>
      </c>
    </row>
    <row r="451" spans="1:7" x14ac:dyDescent="0.2">
      <c r="A451" s="7">
        <v>45327</v>
      </c>
      <c r="B451">
        <v>0</v>
      </c>
      <c r="D451" s="9"/>
      <c r="E451" s="9"/>
      <c r="F451" s="10">
        <v>45327</v>
      </c>
      <c r="G451">
        <v>0</v>
      </c>
    </row>
    <row r="452" spans="1:7" x14ac:dyDescent="0.2">
      <c r="A452" s="7">
        <v>45328</v>
      </c>
      <c r="B452">
        <v>0</v>
      </c>
      <c r="D452" s="9"/>
      <c r="E452" s="9"/>
      <c r="F452" s="10">
        <v>45328</v>
      </c>
      <c r="G452">
        <v>0</v>
      </c>
    </row>
    <row r="453" spans="1:7" x14ac:dyDescent="0.2">
      <c r="A453" s="7">
        <v>45329</v>
      </c>
      <c r="B453">
        <v>0</v>
      </c>
      <c r="D453" s="9"/>
      <c r="E453" s="9"/>
      <c r="F453" s="10">
        <v>45329</v>
      </c>
      <c r="G453">
        <v>0</v>
      </c>
    </row>
    <row r="454" spans="1:7" x14ac:dyDescent="0.2">
      <c r="A454" s="7">
        <v>45330</v>
      </c>
      <c r="B454">
        <v>1</v>
      </c>
      <c r="D454" s="9"/>
      <c r="E454" s="9"/>
      <c r="F454" s="10">
        <v>45330</v>
      </c>
      <c r="G454">
        <v>300</v>
      </c>
    </row>
    <row r="455" spans="1:7" x14ac:dyDescent="0.2">
      <c r="A455" s="7">
        <v>45331</v>
      </c>
      <c r="B455">
        <v>1</v>
      </c>
      <c r="D455" s="9"/>
      <c r="E455" s="9"/>
      <c r="F455" s="10">
        <v>45331</v>
      </c>
      <c r="G455">
        <v>450</v>
      </c>
    </row>
    <row r="456" spans="1:7" x14ac:dyDescent="0.2">
      <c r="A456" s="7">
        <v>45332</v>
      </c>
      <c r="B456">
        <v>0</v>
      </c>
      <c r="D456" s="9"/>
      <c r="E456" s="9"/>
      <c r="F456" s="10">
        <v>45332</v>
      </c>
      <c r="G456">
        <v>0</v>
      </c>
    </row>
    <row r="457" spans="1:7" x14ac:dyDescent="0.2">
      <c r="A457" s="7">
        <v>45333</v>
      </c>
      <c r="B457">
        <v>1</v>
      </c>
      <c r="D457" s="9"/>
      <c r="E457" s="9"/>
      <c r="F457" s="10">
        <v>45333</v>
      </c>
      <c r="G457">
        <v>700</v>
      </c>
    </row>
    <row r="458" spans="1:7" x14ac:dyDescent="0.2">
      <c r="A458" s="7">
        <v>45334</v>
      </c>
      <c r="B458">
        <v>0</v>
      </c>
      <c r="D458" s="9"/>
      <c r="E458" s="9"/>
      <c r="F458" s="10">
        <v>45334</v>
      </c>
      <c r="G458">
        <v>0</v>
      </c>
    </row>
    <row r="459" spans="1:7" x14ac:dyDescent="0.2">
      <c r="A459" s="7">
        <v>45335</v>
      </c>
      <c r="B459">
        <v>0</v>
      </c>
      <c r="D459" s="9"/>
      <c r="E459" s="9"/>
      <c r="F459" s="10">
        <v>45335</v>
      </c>
      <c r="G459">
        <v>0</v>
      </c>
    </row>
    <row r="460" spans="1:7" x14ac:dyDescent="0.2">
      <c r="A460" s="7">
        <v>45336</v>
      </c>
      <c r="B460">
        <v>0</v>
      </c>
      <c r="D460" s="9"/>
      <c r="E460" s="9"/>
      <c r="F460" s="10">
        <v>45336</v>
      </c>
      <c r="G460">
        <v>0</v>
      </c>
    </row>
    <row r="461" spans="1:7" x14ac:dyDescent="0.2">
      <c r="A461" s="7">
        <v>45337</v>
      </c>
      <c r="B461">
        <v>0</v>
      </c>
      <c r="D461" s="9"/>
      <c r="E461" s="9"/>
      <c r="F461" s="10">
        <v>45337</v>
      </c>
      <c r="G461">
        <v>0</v>
      </c>
    </row>
    <row r="462" spans="1:7" x14ac:dyDescent="0.2">
      <c r="A462" s="7">
        <v>45338</v>
      </c>
      <c r="B462">
        <v>1</v>
      </c>
      <c r="D462" s="9"/>
      <c r="E462" s="9"/>
      <c r="F462" s="10">
        <v>45338</v>
      </c>
      <c r="G462">
        <v>300</v>
      </c>
    </row>
    <row r="463" spans="1:7" x14ac:dyDescent="0.2">
      <c r="A463" s="7">
        <v>45339</v>
      </c>
      <c r="B463">
        <v>0</v>
      </c>
      <c r="D463" s="9"/>
      <c r="E463" s="9"/>
      <c r="F463" s="10">
        <v>45339</v>
      </c>
      <c r="G463">
        <v>0</v>
      </c>
    </row>
    <row r="464" spans="1:7" x14ac:dyDescent="0.2">
      <c r="A464" s="7">
        <v>45340</v>
      </c>
      <c r="B464">
        <v>0</v>
      </c>
      <c r="D464" s="9"/>
      <c r="E464" s="9"/>
      <c r="F464" s="10">
        <v>45340</v>
      </c>
      <c r="G464">
        <v>0</v>
      </c>
    </row>
    <row r="465" spans="1:7" x14ac:dyDescent="0.2">
      <c r="A465" s="7">
        <v>45341</v>
      </c>
      <c r="B465">
        <v>0</v>
      </c>
      <c r="D465" s="9"/>
      <c r="E465" s="9"/>
      <c r="F465" s="10">
        <v>45341</v>
      </c>
      <c r="G465">
        <v>0</v>
      </c>
    </row>
    <row r="466" spans="1:7" x14ac:dyDescent="0.2">
      <c r="A466" s="7">
        <v>45342</v>
      </c>
      <c r="B466">
        <v>0</v>
      </c>
      <c r="D466" s="9"/>
      <c r="E466" s="9"/>
      <c r="F466" s="10">
        <v>45342</v>
      </c>
      <c r="G466">
        <v>0</v>
      </c>
    </row>
    <row r="467" spans="1:7" x14ac:dyDescent="0.2">
      <c r="A467" s="7">
        <v>45343</v>
      </c>
      <c r="B467">
        <v>1</v>
      </c>
      <c r="D467" s="9"/>
      <c r="E467" s="9"/>
      <c r="F467" s="10">
        <v>45343</v>
      </c>
      <c r="G467">
        <v>450</v>
      </c>
    </row>
    <row r="468" spans="1:7" x14ac:dyDescent="0.2">
      <c r="A468" s="7">
        <v>45344</v>
      </c>
      <c r="B468">
        <v>0</v>
      </c>
      <c r="D468" s="9"/>
      <c r="E468" s="9"/>
      <c r="F468" s="10">
        <v>45344</v>
      </c>
      <c r="G468">
        <v>0</v>
      </c>
    </row>
    <row r="469" spans="1:7" x14ac:dyDescent="0.2">
      <c r="A469" s="7">
        <v>45345</v>
      </c>
      <c r="B469">
        <v>1</v>
      </c>
      <c r="D469" s="9"/>
      <c r="E469" s="9"/>
      <c r="F469" s="10">
        <v>45345</v>
      </c>
      <c r="G469">
        <v>700</v>
      </c>
    </row>
    <row r="470" spans="1:7" x14ac:dyDescent="0.2">
      <c r="A470" s="7">
        <v>45346</v>
      </c>
      <c r="B470">
        <v>0</v>
      </c>
      <c r="D470" s="9"/>
      <c r="E470" s="9"/>
      <c r="F470" s="10">
        <v>45346</v>
      </c>
      <c r="G470">
        <v>0</v>
      </c>
    </row>
    <row r="471" spans="1:7" x14ac:dyDescent="0.2">
      <c r="A471" s="7">
        <v>45347</v>
      </c>
      <c r="B471">
        <v>0</v>
      </c>
      <c r="D471" s="9"/>
      <c r="E471" s="9"/>
      <c r="F471" s="10">
        <v>45347</v>
      </c>
      <c r="G471">
        <v>0</v>
      </c>
    </row>
    <row r="472" spans="1:7" x14ac:dyDescent="0.2">
      <c r="A472" s="7">
        <v>45348</v>
      </c>
      <c r="B472">
        <v>0</v>
      </c>
      <c r="D472" s="9"/>
      <c r="E472" s="9"/>
      <c r="F472" s="10">
        <v>45348</v>
      </c>
      <c r="G472">
        <v>0</v>
      </c>
    </row>
    <row r="473" spans="1:7" x14ac:dyDescent="0.2">
      <c r="A473" s="7">
        <v>45349</v>
      </c>
      <c r="B473">
        <v>1</v>
      </c>
      <c r="D473" s="9"/>
      <c r="E473" s="9"/>
      <c r="F473" s="10">
        <v>45349</v>
      </c>
      <c r="G473">
        <v>300</v>
      </c>
    </row>
    <row r="474" spans="1:7" x14ac:dyDescent="0.2">
      <c r="A474" s="7">
        <v>45350</v>
      </c>
      <c r="B474">
        <v>2</v>
      </c>
      <c r="D474" s="9"/>
      <c r="E474" s="9"/>
      <c r="F474" s="10">
        <v>45350</v>
      </c>
      <c r="G474">
        <v>1150</v>
      </c>
    </row>
    <row r="475" spans="1:7" x14ac:dyDescent="0.2">
      <c r="A475" s="7">
        <v>45351</v>
      </c>
      <c r="B475">
        <v>0</v>
      </c>
      <c r="D475" s="9"/>
      <c r="E475" s="9"/>
      <c r="F475" s="10">
        <v>45351</v>
      </c>
      <c r="G475">
        <v>0</v>
      </c>
    </row>
    <row r="476" spans="1:7" x14ac:dyDescent="0.2">
      <c r="A476" s="7">
        <v>45352</v>
      </c>
      <c r="B476">
        <v>0</v>
      </c>
      <c r="D476" s="9"/>
      <c r="E476" s="9"/>
      <c r="F476" s="10">
        <v>45352</v>
      </c>
      <c r="G476">
        <v>0</v>
      </c>
    </row>
    <row r="477" spans="1:7" x14ac:dyDescent="0.2">
      <c r="A477" s="7">
        <v>45353</v>
      </c>
      <c r="B477">
        <v>2</v>
      </c>
      <c r="D477" s="9"/>
      <c r="E477" s="9"/>
      <c r="F477" s="10">
        <v>45353</v>
      </c>
      <c r="G477">
        <v>750</v>
      </c>
    </row>
    <row r="478" spans="1:7" x14ac:dyDescent="0.2">
      <c r="A478" s="7">
        <v>45354</v>
      </c>
      <c r="B478">
        <v>0</v>
      </c>
      <c r="D478" s="9"/>
      <c r="E478" s="9"/>
      <c r="F478" s="10">
        <v>45354</v>
      </c>
      <c r="G478">
        <v>0</v>
      </c>
    </row>
    <row r="479" spans="1:7" x14ac:dyDescent="0.2">
      <c r="A479" s="7">
        <v>45355</v>
      </c>
      <c r="B479">
        <v>0</v>
      </c>
      <c r="D479" s="9"/>
      <c r="E479" s="9"/>
      <c r="F479" s="10">
        <v>45355</v>
      </c>
      <c r="G479">
        <v>0</v>
      </c>
    </row>
    <row r="480" spans="1:7" x14ac:dyDescent="0.2">
      <c r="A480" s="7">
        <v>45356</v>
      </c>
      <c r="B480">
        <v>0</v>
      </c>
      <c r="D480" s="9"/>
      <c r="E480" s="9"/>
      <c r="F480" s="10">
        <v>45356</v>
      </c>
      <c r="G480">
        <v>0</v>
      </c>
    </row>
    <row r="481" spans="1:7" x14ac:dyDescent="0.2">
      <c r="A481" s="7">
        <v>45357</v>
      </c>
      <c r="B481">
        <v>0</v>
      </c>
      <c r="D481" s="9"/>
      <c r="E481" s="9"/>
      <c r="F481" s="10">
        <v>45357</v>
      </c>
      <c r="G481">
        <v>0</v>
      </c>
    </row>
    <row r="482" spans="1:7" x14ac:dyDescent="0.2">
      <c r="A482" s="7">
        <v>45358</v>
      </c>
      <c r="B482">
        <v>0</v>
      </c>
      <c r="D482" s="9"/>
      <c r="E482" s="9"/>
      <c r="F482" s="10">
        <v>45358</v>
      </c>
      <c r="G482">
        <v>0</v>
      </c>
    </row>
    <row r="483" spans="1:7" x14ac:dyDescent="0.2">
      <c r="A483" s="7">
        <v>45359</v>
      </c>
      <c r="B483">
        <v>0</v>
      </c>
      <c r="D483" s="9"/>
      <c r="E483" s="9"/>
      <c r="F483" s="10">
        <v>45359</v>
      </c>
      <c r="G483">
        <v>0</v>
      </c>
    </row>
    <row r="484" spans="1:7" x14ac:dyDescent="0.2">
      <c r="A484" s="7">
        <v>45360</v>
      </c>
      <c r="B484">
        <v>0</v>
      </c>
      <c r="D484" s="9"/>
      <c r="E484" s="9"/>
      <c r="F484" s="10">
        <v>45360</v>
      </c>
      <c r="G484">
        <v>0</v>
      </c>
    </row>
    <row r="485" spans="1:7" x14ac:dyDescent="0.2">
      <c r="A485" s="7">
        <v>45361</v>
      </c>
      <c r="B485">
        <v>0</v>
      </c>
      <c r="D485" s="9"/>
      <c r="E485" s="9"/>
      <c r="F485" s="10">
        <v>45361</v>
      </c>
      <c r="G485">
        <v>0</v>
      </c>
    </row>
    <row r="486" spans="1:7" x14ac:dyDescent="0.2">
      <c r="A486" s="7">
        <v>45362</v>
      </c>
      <c r="B486">
        <v>0</v>
      </c>
      <c r="D486" s="9"/>
      <c r="E486" s="9"/>
      <c r="F486" s="10">
        <v>45362</v>
      </c>
      <c r="G486">
        <v>0</v>
      </c>
    </row>
    <row r="487" spans="1:7" x14ac:dyDescent="0.2">
      <c r="A487" s="7">
        <v>45363</v>
      </c>
      <c r="B487">
        <v>0</v>
      </c>
      <c r="D487" s="9"/>
      <c r="E487" s="9"/>
      <c r="F487" s="10">
        <v>45363</v>
      </c>
      <c r="G487">
        <v>0</v>
      </c>
    </row>
    <row r="488" spans="1:7" x14ac:dyDescent="0.2">
      <c r="A488" s="7">
        <v>45364</v>
      </c>
      <c r="B488">
        <v>0</v>
      </c>
      <c r="D488" s="9"/>
      <c r="E488" s="9"/>
      <c r="F488" s="10">
        <v>45364</v>
      </c>
      <c r="G488">
        <v>0</v>
      </c>
    </row>
    <row r="489" spans="1:7" x14ac:dyDescent="0.2">
      <c r="A489" s="7">
        <v>45365</v>
      </c>
      <c r="B489">
        <v>0</v>
      </c>
      <c r="D489" s="9"/>
      <c r="E489" s="9"/>
      <c r="F489" s="10">
        <v>45365</v>
      </c>
      <c r="G489">
        <v>0</v>
      </c>
    </row>
    <row r="490" spans="1:7" x14ac:dyDescent="0.2">
      <c r="A490" s="7">
        <v>45366</v>
      </c>
      <c r="B490">
        <v>0</v>
      </c>
      <c r="D490" s="9"/>
      <c r="E490" s="9"/>
      <c r="F490" s="10">
        <v>45366</v>
      </c>
      <c r="G490">
        <v>0</v>
      </c>
    </row>
    <row r="491" spans="1:7" x14ac:dyDescent="0.2">
      <c r="A491" s="7">
        <v>45367</v>
      </c>
      <c r="B491">
        <v>0</v>
      </c>
      <c r="D491" s="9"/>
      <c r="E491" s="9"/>
      <c r="F491" s="10">
        <v>45367</v>
      </c>
      <c r="G491">
        <v>0</v>
      </c>
    </row>
    <row r="492" spans="1:7" x14ac:dyDescent="0.2">
      <c r="A492" s="7">
        <v>45368</v>
      </c>
      <c r="B492">
        <v>1</v>
      </c>
      <c r="D492" s="9"/>
      <c r="E492" s="9"/>
      <c r="F492" s="10">
        <v>45368</v>
      </c>
      <c r="G492">
        <v>700</v>
      </c>
    </row>
    <row r="493" spans="1:7" x14ac:dyDescent="0.2">
      <c r="A493" s="7">
        <v>45369</v>
      </c>
      <c r="B493">
        <v>0</v>
      </c>
      <c r="D493" s="9"/>
      <c r="E493" s="9"/>
      <c r="F493" s="10">
        <v>45369</v>
      </c>
      <c r="G493">
        <v>0</v>
      </c>
    </row>
    <row r="494" spans="1:7" x14ac:dyDescent="0.2">
      <c r="A494" s="7">
        <v>45370</v>
      </c>
      <c r="B494">
        <v>0</v>
      </c>
      <c r="D494" s="9"/>
      <c r="E494" s="9"/>
      <c r="F494" s="10">
        <v>45370</v>
      </c>
      <c r="G494">
        <v>0</v>
      </c>
    </row>
    <row r="495" spans="1:7" x14ac:dyDescent="0.2">
      <c r="A495" s="7">
        <v>45371</v>
      </c>
      <c r="B495">
        <v>0</v>
      </c>
      <c r="D495" s="9"/>
      <c r="E495" s="9"/>
      <c r="F495" s="10">
        <v>45371</v>
      </c>
      <c r="G495">
        <v>0</v>
      </c>
    </row>
    <row r="496" spans="1:7" x14ac:dyDescent="0.2">
      <c r="A496" s="7">
        <v>45372</v>
      </c>
      <c r="B496">
        <v>0</v>
      </c>
      <c r="D496" s="9"/>
      <c r="E496" s="9"/>
      <c r="F496" s="10">
        <v>45372</v>
      </c>
      <c r="G496">
        <v>0</v>
      </c>
    </row>
    <row r="497" spans="1:7" x14ac:dyDescent="0.2">
      <c r="A497" s="7">
        <v>45373</v>
      </c>
      <c r="B497">
        <v>1</v>
      </c>
      <c r="D497" s="9"/>
      <c r="E497" s="9"/>
      <c r="F497" s="10">
        <v>45373</v>
      </c>
      <c r="G497">
        <v>300</v>
      </c>
    </row>
    <row r="498" spans="1:7" x14ac:dyDescent="0.2">
      <c r="A498" s="7">
        <v>45374</v>
      </c>
      <c r="B498">
        <v>0</v>
      </c>
      <c r="D498" s="9"/>
      <c r="E498" s="9"/>
      <c r="F498" s="10">
        <v>45374</v>
      </c>
      <c r="G498">
        <v>0</v>
      </c>
    </row>
    <row r="499" spans="1:7" x14ac:dyDescent="0.2">
      <c r="A499" s="7">
        <v>45375</v>
      </c>
      <c r="B499">
        <v>1</v>
      </c>
      <c r="D499" s="9"/>
      <c r="E499" s="9"/>
      <c r="F499" s="10">
        <v>45375</v>
      </c>
      <c r="G499">
        <v>450</v>
      </c>
    </row>
    <row r="500" spans="1:7" x14ac:dyDescent="0.2">
      <c r="A500" s="7">
        <v>45376</v>
      </c>
      <c r="B500">
        <v>0</v>
      </c>
      <c r="D500" s="9"/>
      <c r="E500" s="9"/>
      <c r="F500" s="10">
        <v>45376</v>
      </c>
      <c r="G500">
        <v>0</v>
      </c>
    </row>
    <row r="501" spans="1:7" x14ac:dyDescent="0.2">
      <c r="A501" s="7">
        <v>45377</v>
      </c>
      <c r="B501">
        <v>0</v>
      </c>
      <c r="D501" s="9"/>
      <c r="E501" s="9"/>
      <c r="F501" s="10">
        <v>45377</v>
      </c>
      <c r="G501">
        <v>0</v>
      </c>
    </row>
    <row r="502" spans="1:7" x14ac:dyDescent="0.2">
      <c r="A502" s="7">
        <v>45378</v>
      </c>
      <c r="B502">
        <v>0</v>
      </c>
      <c r="D502" s="9"/>
      <c r="E502" s="9"/>
      <c r="F502" s="10">
        <v>45378</v>
      </c>
      <c r="G502">
        <v>0</v>
      </c>
    </row>
    <row r="503" spans="1:7" x14ac:dyDescent="0.2">
      <c r="A503" s="7">
        <v>45379</v>
      </c>
      <c r="B503">
        <v>0</v>
      </c>
      <c r="D503" s="9"/>
      <c r="E503" s="9"/>
      <c r="F503" s="10">
        <v>45379</v>
      </c>
      <c r="G503">
        <v>0</v>
      </c>
    </row>
    <row r="504" spans="1:7" x14ac:dyDescent="0.2">
      <c r="A504" s="7">
        <v>45380</v>
      </c>
      <c r="B504">
        <v>0</v>
      </c>
      <c r="D504" s="9"/>
      <c r="E504" s="9"/>
      <c r="F504" s="10">
        <v>45380</v>
      </c>
      <c r="G504">
        <v>0</v>
      </c>
    </row>
    <row r="505" spans="1:7" x14ac:dyDescent="0.2">
      <c r="A505" s="7">
        <v>45381</v>
      </c>
      <c r="B505">
        <v>0</v>
      </c>
      <c r="D505" s="9"/>
      <c r="E505" s="9"/>
      <c r="F505" s="10">
        <v>45381</v>
      </c>
      <c r="G505">
        <v>0</v>
      </c>
    </row>
    <row r="506" spans="1:7" x14ac:dyDescent="0.2">
      <c r="A506" s="7">
        <v>45382</v>
      </c>
      <c r="B506">
        <v>0</v>
      </c>
      <c r="D506" s="9"/>
      <c r="E506" s="9"/>
      <c r="F506" s="10">
        <v>45382</v>
      </c>
      <c r="G506">
        <v>0</v>
      </c>
    </row>
    <row r="507" spans="1:7" x14ac:dyDescent="0.2">
      <c r="A507" s="7">
        <v>45383</v>
      </c>
      <c r="B507">
        <v>0</v>
      </c>
      <c r="D507" s="9"/>
      <c r="E507" s="9"/>
      <c r="F507" s="10">
        <v>45383</v>
      </c>
      <c r="G507">
        <v>0</v>
      </c>
    </row>
    <row r="508" spans="1:7" x14ac:dyDescent="0.2">
      <c r="A508" s="7">
        <v>45384</v>
      </c>
      <c r="B508">
        <v>0</v>
      </c>
      <c r="D508" s="9"/>
      <c r="E508" s="9"/>
      <c r="F508" s="10">
        <v>45384</v>
      </c>
      <c r="G508">
        <v>0</v>
      </c>
    </row>
    <row r="509" spans="1:7" x14ac:dyDescent="0.2">
      <c r="A509" s="7">
        <v>45385</v>
      </c>
      <c r="B509">
        <v>0</v>
      </c>
      <c r="D509" s="9"/>
      <c r="E509" s="9"/>
      <c r="F509" s="10">
        <v>45385</v>
      </c>
      <c r="G509">
        <v>0</v>
      </c>
    </row>
    <row r="510" spans="1:7" x14ac:dyDescent="0.2">
      <c r="A510" s="7">
        <v>45386</v>
      </c>
      <c r="B510">
        <v>0</v>
      </c>
      <c r="D510" s="9"/>
      <c r="E510" s="9"/>
      <c r="F510" s="10">
        <v>45386</v>
      </c>
      <c r="G510">
        <v>0</v>
      </c>
    </row>
    <row r="511" spans="1:7" x14ac:dyDescent="0.2">
      <c r="A511" s="7">
        <v>45387</v>
      </c>
      <c r="B511">
        <v>0</v>
      </c>
      <c r="D511" s="9"/>
      <c r="E511" s="9"/>
      <c r="F511" s="10">
        <v>45387</v>
      </c>
      <c r="G511">
        <v>0</v>
      </c>
    </row>
    <row r="512" spans="1:7" x14ac:dyDescent="0.2">
      <c r="A512" s="7">
        <v>45388</v>
      </c>
      <c r="B512">
        <v>0</v>
      </c>
      <c r="D512" s="9"/>
      <c r="E512" s="9"/>
      <c r="F512" s="10">
        <v>45388</v>
      </c>
      <c r="G512">
        <v>0</v>
      </c>
    </row>
    <row r="513" spans="1:7" x14ac:dyDescent="0.2">
      <c r="A513" s="7">
        <v>45389</v>
      </c>
      <c r="B513">
        <v>0</v>
      </c>
      <c r="D513" s="9"/>
      <c r="E513" s="9"/>
      <c r="F513" s="10">
        <v>45389</v>
      </c>
      <c r="G513">
        <v>0</v>
      </c>
    </row>
    <row r="514" spans="1:7" x14ac:dyDescent="0.2">
      <c r="A514" s="7">
        <v>45390</v>
      </c>
      <c r="B514">
        <v>0</v>
      </c>
      <c r="D514" s="9"/>
      <c r="E514" s="9"/>
      <c r="F514" s="10">
        <v>45390</v>
      </c>
      <c r="G514">
        <v>0</v>
      </c>
    </row>
    <row r="515" spans="1:7" x14ac:dyDescent="0.2">
      <c r="A515" s="7">
        <v>45391</v>
      </c>
      <c r="B515">
        <v>1</v>
      </c>
      <c r="D515" s="9"/>
      <c r="E515" s="9"/>
      <c r="F515" s="10">
        <v>45391</v>
      </c>
      <c r="G515">
        <v>700</v>
      </c>
    </row>
    <row r="516" spans="1:7" x14ac:dyDescent="0.2">
      <c r="A516" s="7">
        <v>45392</v>
      </c>
      <c r="B516">
        <v>0</v>
      </c>
      <c r="D516" s="9"/>
      <c r="E516" s="9"/>
      <c r="F516" s="10">
        <v>45392</v>
      </c>
      <c r="G516">
        <v>0</v>
      </c>
    </row>
    <row r="517" spans="1:7" x14ac:dyDescent="0.2">
      <c r="A517" s="7">
        <v>45393</v>
      </c>
      <c r="B517">
        <v>0</v>
      </c>
      <c r="D517" s="9"/>
      <c r="E517" s="9"/>
      <c r="F517" s="10">
        <v>45393</v>
      </c>
      <c r="G517">
        <v>0</v>
      </c>
    </row>
    <row r="518" spans="1:7" x14ac:dyDescent="0.2">
      <c r="A518" s="7">
        <v>45394</v>
      </c>
      <c r="B518">
        <v>0</v>
      </c>
      <c r="D518" s="9"/>
      <c r="E518" s="9"/>
      <c r="F518" s="10">
        <v>45394</v>
      </c>
      <c r="G518">
        <v>0</v>
      </c>
    </row>
    <row r="519" spans="1:7" x14ac:dyDescent="0.2">
      <c r="A519" s="7">
        <v>45395</v>
      </c>
      <c r="B519">
        <v>0</v>
      </c>
      <c r="D519" s="9"/>
      <c r="E519" s="9"/>
      <c r="F519" s="10">
        <v>45395</v>
      </c>
      <c r="G519">
        <v>0</v>
      </c>
    </row>
    <row r="520" spans="1:7" x14ac:dyDescent="0.2">
      <c r="A520" s="7">
        <v>45396</v>
      </c>
      <c r="B520">
        <v>0</v>
      </c>
      <c r="D520" s="9"/>
      <c r="E520" s="9"/>
      <c r="F520" s="10">
        <v>45396</v>
      </c>
      <c r="G520">
        <v>0</v>
      </c>
    </row>
    <row r="521" spans="1:7" x14ac:dyDescent="0.2">
      <c r="A521" s="7">
        <v>45397</v>
      </c>
      <c r="B521">
        <v>0</v>
      </c>
      <c r="D521" s="9"/>
      <c r="E521" s="9"/>
      <c r="F521" s="10">
        <v>45397</v>
      </c>
      <c r="G521">
        <v>0</v>
      </c>
    </row>
    <row r="522" spans="1:7" x14ac:dyDescent="0.2">
      <c r="A522" s="7">
        <v>45398</v>
      </c>
      <c r="B522">
        <v>0</v>
      </c>
      <c r="D522" s="9"/>
      <c r="E522" s="9"/>
      <c r="F522" s="10">
        <v>45398</v>
      </c>
      <c r="G522">
        <v>0</v>
      </c>
    </row>
    <row r="523" spans="1:7" x14ac:dyDescent="0.2">
      <c r="A523" s="7">
        <v>45399</v>
      </c>
      <c r="B523">
        <v>1</v>
      </c>
      <c r="D523" s="9"/>
      <c r="E523" s="9"/>
      <c r="F523" s="10">
        <v>45399</v>
      </c>
      <c r="G523">
        <v>300</v>
      </c>
    </row>
    <row r="524" spans="1:7" x14ac:dyDescent="0.2">
      <c r="A524" s="7">
        <v>45400</v>
      </c>
      <c r="B524">
        <v>0</v>
      </c>
      <c r="D524" s="9"/>
      <c r="E524" s="9"/>
      <c r="F524" s="10">
        <v>45400</v>
      </c>
      <c r="G524">
        <v>0</v>
      </c>
    </row>
    <row r="525" spans="1:7" x14ac:dyDescent="0.2">
      <c r="A525" s="7">
        <v>45401</v>
      </c>
      <c r="B525">
        <v>0</v>
      </c>
      <c r="D525" s="9"/>
      <c r="E525" s="9"/>
      <c r="F525" s="10">
        <v>45401</v>
      </c>
      <c r="G525">
        <v>0</v>
      </c>
    </row>
    <row r="526" spans="1:7" x14ac:dyDescent="0.2">
      <c r="A526" s="7">
        <v>45402</v>
      </c>
      <c r="B526">
        <v>0</v>
      </c>
      <c r="D526" s="9"/>
      <c r="E526" s="9"/>
      <c r="F526" s="10">
        <v>45402</v>
      </c>
      <c r="G526">
        <v>0</v>
      </c>
    </row>
    <row r="527" spans="1:7" x14ac:dyDescent="0.2">
      <c r="A527" s="7">
        <v>45403</v>
      </c>
      <c r="B527">
        <v>0</v>
      </c>
      <c r="D527" s="9"/>
      <c r="E527" s="9"/>
      <c r="F527" s="10">
        <v>45403</v>
      </c>
      <c r="G527">
        <v>0</v>
      </c>
    </row>
    <row r="528" spans="1:7" x14ac:dyDescent="0.2">
      <c r="A528" s="7">
        <v>45404</v>
      </c>
      <c r="B528">
        <v>0</v>
      </c>
      <c r="D528" s="9"/>
      <c r="E528" s="9"/>
      <c r="F528" s="10">
        <v>45404</v>
      </c>
      <c r="G528">
        <v>0</v>
      </c>
    </row>
    <row r="529" spans="1:7" x14ac:dyDescent="0.2">
      <c r="A529" s="7">
        <v>45405</v>
      </c>
      <c r="B529">
        <v>0</v>
      </c>
      <c r="D529" s="9"/>
      <c r="E529" s="9"/>
      <c r="F529" s="10">
        <v>45405</v>
      </c>
      <c r="G529">
        <v>0</v>
      </c>
    </row>
    <row r="530" spans="1:7" x14ac:dyDescent="0.2">
      <c r="A530" s="7">
        <v>45406</v>
      </c>
      <c r="B530">
        <v>0</v>
      </c>
      <c r="D530" s="9"/>
      <c r="E530" s="9"/>
      <c r="F530" s="10">
        <v>45406</v>
      </c>
      <c r="G530">
        <v>0</v>
      </c>
    </row>
    <row r="531" spans="1:7" x14ac:dyDescent="0.2">
      <c r="A531" s="7">
        <v>45407</v>
      </c>
      <c r="B531">
        <v>0</v>
      </c>
      <c r="D531" s="9"/>
      <c r="E531" s="9"/>
      <c r="F531" s="10">
        <v>45407</v>
      </c>
      <c r="G531">
        <v>0</v>
      </c>
    </row>
    <row r="532" spans="1:7" x14ac:dyDescent="0.2">
      <c r="A532" s="7">
        <v>45408</v>
      </c>
      <c r="B532">
        <v>0</v>
      </c>
      <c r="D532" s="9"/>
      <c r="E532" s="9"/>
      <c r="F532" s="10">
        <v>45408</v>
      </c>
      <c r="G532">
        <v>0</v>
      </c>
    </row>
    <row r="533" spans="1:7" x14ac:dyDescent="0.2">
      <c r="A533" s="7">
        <v>45409</v>
      </c>
      <c r="B533">
        <v>0</v>
      </c>
      <c r="D533" s="9"/>
      <c r="E533" s="9"/>
      <c r="F533" s="10">
        <v>45409</v>
      </c>
      <c r="G533">
        <v>0</v>
      </c>
    </row>
    <row r="534" spans="1:7" x14ac:dyDescent="0.2">
      <c r="A534" s="7">
        <v>45410</v>
      </c>
      <c r="B534">
        <v>1</v>
      </c>
      <c r="D534" s="9"/>
      <c r="E534" s="9"/>
      <c r="F534" s="10">
        <v>45410</v>
      </c>
      <c r="G534">
        <v>450</v>
      </c>
    </row>
    <row r="535" spans="1:7" x14ac:dyDescent="0.2">
      <c r="A535" s="7">
        <v>45411</v>
      </c>
      <c r="B535">
        <v>0</v>
      </c>
      <c r="D535" s="9"/>
      <c r="E535" s="9"/>
      <c r="F535" s="10">
        <v>45411</v>
      </c>
      <c r="G535">
        <v>0</v>
      </c>
    </row>
    <row r="536" spans="1:7" x14ac:dyDescent="0.2">
      <c r="A536" s="7">
        <v>45412</v>
      </c>
      <c r="B536">
        <v>0</v>
      </c>
      <c r="D536" s="9"/>
      <c r="E536" s="9"/>
      <c r="F536" s="10">
        <v>45412</v>
      </c>
      <c r="G536">
        <v>0</v>
      </c>
    </row>
    <row r="537" spans="1:7" x14ac:dyDescent="0.2">
      <c r="A537" s="7">
        <v>45413</v>
      </c>
      <c r="B537">
        <v>0</v>
      </c>
      <c r="D537" s="9"/>
      <c r="E537" s="9"/>
      <c r="F537" s="10">
        <v>45413</v>
      </c>
      <c r="G537">
        <v>0</v>
      </c>
    </row>
    <row r="538" spans="1:7" x14ac:dyDescent="0.2">
      <c r="A538" s="7">
        <v>45414</v>
      </c>
      <c r="B538">
        <v>0</v>
      </c>
      <c r="D538" s="9"/>
      <c r="E538" s="9"/>
      <c r="F538" s="10">
        <v>45414</v>
      </c>
      <c r="G538">
        <v>0</v>
      </c>
    </row>
    <row r="539" spans="1:7" x14ac:dyDescent="0.2">
      <c r="A539" s="7">
        <v>45415</v>
      </c>
      <c r="B539">
        <v>0</v>
      </c>
      <c r="D539" s="9"/>
      <c r="E539" s="9"/>
      <c r="F539" s="10">
        <v>45415</v>
      </c>
      <c r="G539">
        <v>0</v>
      </c>
    </row>
    <row r="540" spans="1:7" x14ac:dyDescent="0.2">
      <c r="A540" s="7">
        <v>45416</v>
      </c>
      <c r="B540">
        <v>1</v>
      </c>
      <c r="D540" s="9"/>
      <c r="E540" s="9"/>
      <c r="F540" s="10">
        <v>45416</v>
      </c>
      <c r="G540">
        <v>700</v>
      </c>
    </row>
    <row r="541" spans="1:7" x14ac:dyDescent="0.2">
      <c r="A541" s="7">
        <v>45417</v>
      </c>
      <c r="B541">
        <v>0</v>
      </c>
      <c r="D541" s="9"/>
      <c r="E541" s="9"/>
      <c r="F541" s="10">
        <v>45417</v>
      </c>
      <c r="G541">
        <v>0</v>
      </c>
    </row>
    <row r="542" spans="1:7" x14ac:dyDescent="0.2">
      <c r="A542" s="7">
        <v>45418</v>
      </c>
      <c r="B542">
        <v>0</v>
      </c>
      <c r="D542" s="9"/>
      <c r="E542" s="9"/>
      <c r="F542" s="10">
        <v>45418</v>
      </c>
      <c r="G542">
        <v>0</v>
      </c>
    </row>
    <row r="543" spans="1:7" x14ac:dyDescent="0.2">
      <c r="A543" s="7">
        <v>45419</v>
      </c>
      <c r="B543">
        <v>0</v>
      </c>
      <c r="D543" s="9"/>
      <c r="E543" s="9"/>
      <c r="F543" s="10">
        <v>45419</v>
      </c>
      <c r="G543">
        <v>0</v>
      </c>
    </row>
    <row r="544" spans="1:7" x14ac:dyDescent="0.2">
      <c r="A544" s="7">
        <v>45420</v>
      </c>
      <c r="B544">
        <v>0</v>
      </c>
      <c r="D544" s="9"/>
      <c r="E544" s="9"/>
      <c r="F544" s="10">
        <v>45420</v>
      </c>
      <c r="G544">
        <v>0</v>
      </c>
    </row>
    <row r="545" spans="1:7" x14ac:dyDescent="0.2">
      <c r="A545" s="7">
        <v>45421</v>
      </c>
      <c r="B545">
        <v>0</v>
      </c>
      <c r="D545" s="9"/>
      <c r="E545" s="9"/>
      <c r="F545" s="10">
        <v>45421</v>
      </c>
      <c r="G545">
        <v>0</v>
      </c>
    </row>
    <row r="546" spans="1:7" x14ac:dyDescent="0.2">
      <c r="A546" s="7">
        <v>45422</v>
      </c>
      <c r="B546">
        <v>0</v>
      </c>
      <c r="D546" s="9"/>
      <c r="E546" s="9"/>
      <c r="F546" s="10">
        <v>45422</v>
      </c>
      <c r="G546">
        <v>0</v>
      </c>
    </row>
    <row r="547" spans="1:7" x14ac:dyDescent="0.2">
      <c r="A547" s="7">
        <v>45423</v>
      </c>
      <c r="B547">
        <v>0</v>
      </c>
      <c r="D547" s="9"/>
      <c r="E547" s="9"/>
      <c r="F547" s="10">
        <v>45423</v>
      </c>
      <c r="G547">
        <v>0</v>
      </c>
    </row>
    <row r="548" spans="1:7" x14ac:dyDescent="0.2">
      <c r="A548" s="7">
        <v>45424</v>
      </c>
      <c r="B548">
        <v>0</v>
      </c>
      <c r="D548" s="9"/>
      <c r="E548" s="9"/>
      <c r="F548" s="10">
        <v>45424</v>
      </c>
      <c r="G548">
        <v>0</v>
      </c>
    </row>
    <row r="549" spans="1:7" x14ac:dyDescent="0.2">
      <c r="A549" s="7">
        <v>45425</v>
      </c>
      <c r="B549">
        <v>1</v>
      </c>
      <c r="D549" s="9"/>
      <c r="E549" s="9"/>
      <c r="F549" s="10">
        <v>45425</v>
      </c>
      <c r="G549">
        <v>300</v>
      </c>
    </row>
    <row r="550" spans="1:7" x14ac:dyDescent="0.2">
      <c r="A550" s="7">
        <v>45426</v>
      </c>
      <c r="B550">
        <v>0</v>
      </c>
      <c r="D550" s="9"/>
      <c r="E550" s="9"/>
      <c r="F550" s="10">
        <v>45426</v>
      </c>
      <c r="G550">
        <v>0</v>
      </c>
    </row>
    <row r="551" spans="1:7" x14ac:dyDescent="0.2">
      <c r="A551" s="7">
        <v>45427</v>
      </c>
      <c r="B551">
        <v>0</v>
      </c>
      <c r="D551" s="9"/>
      <c r="E551" s="9"/>
      <c r="F551" s="10">
        <v>45427</v>
      </c>
      <c r="G551">
        <v>0</v>
      </c>
    </row>
    <row r="552" spans="1:7" x14ac:dyDescent="0.2">
      <c r="A552" s="7">
        <v>45428</v>
      </c>
      <c r="B552">
        <v>0</v>
      </c>
      <c r="D552" s="9"/>
      <c r="E552" s="9"/>
      <c r="F552" s="10">
        <v>45428</v>
      </c>
      <c r="G552">
        <v>0</v>
      </c>
    </row>
    <row r="553" spans="1:7" x14ac:dyDescent="0.2">
      <c r="A553" s="7">
        <v>45429</v>
      </c>
      <c r="B553">
        <v>0</v>
      </c>
      <c r="D553" s="9"/>
      <c r="E553" s="9"/>
      <c r="F553" s="10">
        <v>45429</v>
      </c>
      <c r="G553">
        <v>0</v>
      </c>
    </row>
    <row r="554" spans="1:7" x14ac:dyDescent="0.2">
      <c r="A554" s="7">
        <v>45430</v>
      </c>
      <c r="B554">
        <v>0</v>
      </c>
      <c r="D554" s="9"/>
      <c r="E554" s="9"/>
      <c r="F554" s="10">
        <v>45430</v>
      </c>
      <c r="G554">
        <v>0</v>
      </c>
    </row>
    <row r="555" spans="1:7" x14ac:dyDescent="0.2">
      <c r="A555" s="7">
        <v>45431</v>
      </c>
      <c r="B555">
        <v>0</v>
      </c>
      <c r="D555" s="9"/>
      <c r="E555" s="9"/>
      <c r="F555" s="10">
        <v>45431</v>
      </c>
      <c r="G555">
        <v>0</v>
      </c>
    </row>
    <row r="556" spans="1:7" x14ac:dyDescent="0.2">
      <c r="A556" s="7">
        <v>45432</v>
      </c>
      <c r="B556">
        <v>0</v>
      </c>
      <c r="D556" s="9"/>
      <c r="E556" s="9"/>
      <c r="F556" s="10">
        <v>45432</v>
      </c>
      <c r="G556">
        <v>0</v>
      </c>
    </row>
    <row r="557" spans="1:7" x14ac:dyDescent="0.2">
      <c r="A557" s="7">
        <v>45433</v>
      </c>
      <c r="B557">
        <v>0</v>
      </c>
      <c r="D557" s="9"/>
      <c r="E557" s="9"/>
      <c r="F557" s="10">
        <v>45433</v>
      </c>
      <c r="G557">
        <v>0</v>
      </c>
    </row>
    <row r="558" spans="1:7" x14ac:dyDescent="0.2">
      <c r="A558" s="7">
        <v>45434</v>
      </c>
      <c r="B558">
        <v>0</v>
      </c>
      <c r="D558" s="9"/>
      <c r="E558" s="9"/>
      <c r="F558" s="10">
        <v>45434</v>
      </c>
      <c r="G558">
        <v>0</v>
      </c>
    </row>
    <row r="559" spans="1:7" x14ac:dyDescent="0.2">
      <c r="A559" s="7">
        <v>45435</v>
      </c>
      <c r="B559">
        <v>0</v>
      </c>
      <c r="D559" s="9"/>
      <c r="E559" s="9"/>
      <c r="F559" s="10">
        <v>45435</v>
      </c>
      <c r="G559">
        <v>0</v>
      </c>
    </row>
    <row r="560" spans="1:7" x14ac:dyDescent="0.2">
      <c r="A560" s="7">
        <v>45436</v>
      </c>
      <c r="B560">
        <v>0</v>
      </c>
      <c r="D560" s="9"/>
      <c r="E560" s="9"/>
      <c r="F560" s="10">
        <v>45436</v>
      </c>
      <c r="G560">
        <v>0</v>
      </c>
    </row>
    <row r="561" spans="1:7" x14ac:dyDescent="0.2">
      <c r="A561" s="7">
        <v>45437</v>
      </c>
      <c r="B561">
        <v>1</v>
      </c>
      <c r="D561" s="9"/>
      <c r="E561" s="9"/>
      <c r="F561" s="10">
        <v>45437</v>
      </c>
      <c r="G561">
        <v>450</v>
      </c>
    </row>
    <row r="562" spans="1:7" x14ac:dyDescent="0.2">
      <c r="A562" s="7">
        <v>45438</v>
      </c>
      <c r="B562">
        <v>0</v>
      </c>
      <c r="D562" s="9"/>
      <c r="E562" s="9"/>
      <c r="F562" s="10">
        <v>45438</v>
      </c>
      <c r="G562">
        <v>0</v>
      </c>
    </row>
    <row r="563" spans="1:7" x14ac:dyDescent="0.2">
      <c r="A563" s="7">
        <v>45439</v>
      </c>
      <c r="B563">
        <v>0</v>
      </c>
      <c r="D563" s="9"/>
      <c r="E563" s="9"/>
      <c r="F563" s="10">
        <v>45439</v>
      </c>
      <c r="G563">
        <v>0</v>
      </c>
    </row>
    <row r="564" spans="1:7" x14ac:dyDescent="0.2">
      <c r="A564" s="7">
        <v>45440</v>
      </c>
      <c r="B564">
        <v>0</v>
      </c>
      <c r="D564" s="9"/>
      <c r="E564" s="9"/>
      <c r="F564" s="10">
        <v>45440</v>
      </c>
      <c r="G564">
        <v>0</v>
      </c>
    </row>
    <row r="565" spans="1:7" x14ac:dyDescent="0.2">
      <c r="A565" s="7">
        <v>45441</v>
      </c>
      <c r="B565">
        <v>0</v>
      </c>
      <c r="D565" s="9"/>
      <c r="E565" s="9"/>
      <c r="F565" s="10">
        <v>45441</v>
      </c>
      <c r="G565">
        <v>0</v>
      </c>
    </row>
    <row r="566" spans="1:7" x14ac:dyDescent="0.2">
      <c r="A566" s="7">
        <v>45442</v>
      </c>
      <c r="B566">
        <v>0</v>
      </c>
      <c r="D566" s="9"/>
      <c r="E566" s="9"/>
      <c r="F566" s="10">
        <v>45442</v>
      </c>
      <c r="G566">
        <v>0</v>
      </c>
    </row>
    <row r="567" spans="1:7" x14ac:dyDescent="0.2">
      <c r="A567" s="7">
        <v>45443</v>
      </c>
      <c r="B567">
        <v>0</v>
      </c>
      <c r="D567" s="9"/>
      <c r="E567" s="9"/>
      <c r="F567" s="10">
        <v>45443</v>
      </c>
      <c r="G567">
        <v>0</v>
      </c>
    </row>
    <row r="568" spans="1:7" x14ac:dyDescent="0.2">
      <c r="A568" s="7">
        <v>45444</v>
      </c>
      <c r="B568">
        <v>0</v>
      </c>
      <c r="D568" s="9"/>
      <c r="E568" s="9"/>
      <c r="F568" s="10">
        <v>45444</v>
      </c>
      <c r="G568">
        <v>0</v>
      </c>
    </row>
    <row r="569" spans="1:7" x14ac:dyDescent="0.2">
      <c r="A569" s="7">
        <v>45445</v>
      </c>
      <c r="B569">
        <v>0</v>
      </c>
      <c r="D569" s="9"/>
      <c r="E569" s="9"/>
      <c r="F569" s="10">
        <v>45445</v>
      </c>
      <c r="G569">
        <v>0</v>
      </c>
    </row>
    <row r="570" spans="1:7" x14ac:dyDescent="0.2">
      <c r="A570" s="7">
        <v>45446</v>
      </c>
      <c r="B570">
        <v>0</v>
      </c>
      <c r="D570" s="9"/>
      <c r="E570" s="9"/>
      <c r="F570" s="10">
        <v>45446</v>
      </c>
      <c r="G570">
        <v>0</v>
      </c>
    </row>
    <row r="571" spans="1:7" x14ac:dyDescent="0.2">
      <c r="A571" s="7">
        <v>45447</v>
      </c>
      <c r="B571">
        <v>0</v>
      </c>
      <c r="D571" s="9"/>
      <c r="E571" s="9"/>
      <c r="F571" s="10">
        <v>45447</v>
      </c>
      <c r="G571">
        <v>0</v>
      </c>
    </row>
    <row r="572" spans="1:7" x14ac:dyDescent="0.2">
      <c r="A572" s="7">
        <v>45448</v>
      </c>
      <c r="B572">
        <v>0</v>
      </c>
      <c r="D572" s="9"/>
      <c r="E572" s="9"/>
      <c r="F572" s="10">
        <v>45448</v>
      </c>
      <c r="G572">
        <v>0</v>
      </c>
    </row>
    <row r="573" spans="1:7" x14ac:dyDescent="0.2">
      <c r="A573" s="7">
        <v>45449</v>
      </c>
      <c r="B573">
        <v>0</v>
      </c>
      <c r="D573" s="9"/>
      <c r="E573" s="9"/>
      <c r="F573" s="10">
        <v>45449</v>
      </c>
      <c r="G573">
        <v>0</v>
      </c>
    </row>
    <row r="574" spans="1:7" x14ac:dyDescent="0.2">
      <c r="A574" s="7">
        <v>45450</v>
      </c>
      <c r="B574">
        <v>0</v>
      </c>
      <c r="D574" s="9"/>
      <c r="E574" s="9"/>
      <c r="F574" s="10">
        <v>45450</v>
      </c>
      <c r="G574">
        <v>0</v>
      </c>
    </row>
    <row r="575" spans="1:7" x14ac:dyDescent="0.2">
      <c r="A575" s="7">
        <v>45451</v>
      </c>
      <c r="B575">
        <v>0</v>
      </c>
      <c r="D575" s="9"/>
      <c r="E575" s="9"/>
      <c r="F575" s="10">
        <v>45451</v>
      </c>
      <c r="G575">
        <v>0</v>
      </c>
    </row>
    <row r="576" spans="1:7" x14ac:dyDescent="0.2">
      <c r="A576" s="7">
        <v>45452</v>
      </c>
      <c r="B576">
        <v>0</v>
      </c>
      <c r="D576" s="9"/>
      <c r="E576" s="9"/>
      <c r="F576" s="10">
        <v>45452</v>
      </c>
      <c r="G576">
        <v>0</v>
      </c>
    </row>
    <row r="577" spans="1:7" x14ac:dyDescent="0.2">
      <c r="A577" s="7">
        <v>45453</v>
      </c>
      <c r="B577">
        <v>0</v>
      </c>
      <c r="D577" s="9"/>
      <c r="E577" s="9"/>
      <c r="F577" s="10">
        <v>45453</v>
      </c>
      <c r="G577">
        <v>0</v>
      </c>
    </row>
    <row r="578" spans="1:7" x14ac:dyDescent="0.2">
      <c r="A578" s="7">
        <v>45454</v>
      </c>
      <c r="B578">
        <v>0</v>
      </c>
      <c r="D578" s="9"/>
      <c r="E578" s="9"/>
      <c r="F578" s="10">
        <v>45454</v>
      </c>
      <c r="G578">
        <v>0</v>
      </c>
    </row>
    <row r="579" spans="1:7" x14ac:dyDescent="0.2">
      <c r="A579" s="7">
        <v>45455</v>
      </c>
      <c r="B579">
        <v>0</v>
      </c>
      <c r="D579" s="9"/>
      <c r="E579" s="9"/>
      <c r="F579" s="10">
        <v>45455</v>
      </c>
      <c r="G579">
        <v>0</v>
      </c>
    </row>
    <row r="580" spans="1:7" x14ac:dyDescent="0.2">
      <c r="A580" s="7">
        <v>45456</v>
      </c>
      <c r="B580">
        <v>1</v>
      </c>
      <c r="D580" s="9"/>
      <c r="E580" s="9"/>
      <c r="F580" s="10">
        <v>45456</v>
      </c>
      <c r="G580">
        <v>700</v>
      </c>
    </row>
    <row r="581" spans="1:7" x14ac:dyDescent="0.2">
      <c r="A581" s="7">
        <v>45457</v>
      </c>
      <c r="B581">
        <v>0</v>
      </c>
      <c r="D581" s="9"/>
      <c r="E581" s="9"/>
      <c r="F581" s="10">
        <v>45457</v>
      </c>
      <c r="G581">
        <v>0</v>
      </c>
    </row>
    <row r="582" spans="1:7" x14ac:dyDescent="0.2">
      <c r="A582" s="7">
        <v>45458</v>
      </c>
      <c r="B582">
        <v>0</v>
      </c>
      <c r="D582" s="9"/>
      <c r="E582" s="9"/>
      <c r="F582" s="10">
        <v>45458</v>
      </c>
      <c r="G582">
        <v>0</v>
      </c>
    </row>
    <row r="583" spans="1:7" x14ac:dyDescent="0.2">
      <c r="A583" s="7">
        <v>45459</v>
      </c>
      <c r="B583">
        <v>1</v>
      </c>
      <c r="D583" s="9"/>
      <c r="E583" s="9"/>
      <c r="F583" s="10">
        <v>45459</v>
      </c>
      <c r="G583">
        <v>300</v>
      </c>
    </row>
    <row r="584" spans="1:7" x14ac:dyDescent="0.2">
      <c r="A584" s="7">
        <v>45460</v>
      </c>
      <c r="B584">
        <v>0</v>
      </c>
      <c r="D584" s="9"/>
      <c r="E584" s="9"/>
      <c r="F584" s="10">
        <v>45460</v>
      </c>
      <c r="G584">
        <v>0</v>
      </c>
    </row>
    <row r="585" spans="1:7" x14ac:dyDescent="0.2">
      <c r="A585" s="7">
        <v>45461</v>
      </c>
      <c r="B585">
        <v>1</v>
      </c>
      <c r="D585" s="9"/>
      <c r="E585" s="9"/>
      <c r="F585" s="10">
        <v>45461</v>
      </c>
      <c r="G585">
        <v>450</v>
      </c>
    </row>
    <row r="586" spans="1:7" x14ac:dyDescent="0.2">
      <c r="A586" s="7">
        <v>45462</v>
      </c>
      <c r="B586">
        <v>0</v>
      </c>
      <c r="D586" s="9"/>
      <c r="E586" s="9"/>
      <c r="F586" s="10">
        <v>45462</v>
      </c>
      <c r="G586">
        <v>0</v>
      </c>
    </row>
    <row r="587" spans="1:7" x14ac:dyDescent="0.2">
      <c r="A587" s="7">
        <v>45463</v>
      </c>
      <c r="B587">
        <v>0</v>
      </c>
      <c r="D587" s="9"/>
      <c r="E587" s="9"/>
      <c r="F587" s="10">
        <v>45463</v>
      </c>
      <c r="G587">
        <v>0</v>
      </c>
    </row>
    <row r="588" spans="1:7" x14ac:dyDescent="0.2">
      <c r="A588" s="7">
        <v>45464</v>
      </c>
      <c r="B588">
        <v>0</v>
      </c>
      <c r="D588" s="9"/>
      <c r="E588" s="9"/>
      <c r="F588" s="10">
        <v>45464</v>
      </c>
      <c r="G588">
        <v>0</v>
      </c>
    </row>
    <row r="589" spans="1:7" x14ac:dyDescent="0.2">
      <c r="A589" s="7">
        <v>45465</v>
      </c>
      <c r="B589">
        <v>0</v>
      </c>
      <c r="D589" s="9"/>
      <c r="E589" s="9"/>
      <c r="F589" s="10">
        <v>45465</v>
      </c>
      <c r="G589">
        <v>0</v>
      </c>
    </row>
    <row r="590" spans="1:7" x14ac:dyDescent="0.2">
      <c r="A590" s="7">
        <v>45466</v>
      </c>
      <c r="B590">
        <v>1</v>
      </c>
      <c r="D590" s="9"/>
      <c r="E590" s="9"/>
      <c r="F590" s="10">
        <v>45466</v>
      </c>
      <c r="G590">
        <v>700</v>
      </c>
    </row>
    <row r="591" spans="1:7" x14ac:dyDescent="0.2">
      <c r="A591" s="7">
        <v>45467</v>
      </c>
      <c r="B591">
        <v>0</v>
      </c>
      <c r="D591" s="9"/>
      <c r="E591" s="9"/>
      <c r="F591" s="10">
        <v>45467</v>
      </c>
      <c r="G591">
        <v>0</v>
      </c>
    </row>
    <row r="592" spans="1:7" x14ac:dyDescent="0.2">
      <c r="A592" s="7">
        <v>45468</v>
      </c>
      <c r="B592">
        <v>0</v>
      </c>
      <c r="D592" s="9"/>
      <c r="E592" s="9"/>
      <c r="F592" s="10">
        <v>45468</v>
      </c>
      <c r="G592">
        <v>0</v>
      </c>
    </row>
    <row r="593" spans="1:7" x14ac:dyDescent="0.2">
      <c r="A593" s="7">
        <v>45469</v>
      </c>
      <c r="B593">
        <v>0</v>
      </c>
      <c r="D593" s="9"/>
      <c r="E593" s="9"/>
      <c r="F593" s="10">
        <v>45469</v>
      </c>
      <c r="G593">
        <v>0</v>
      </c>
    </row>
    <row r="594" spans="1:7" x14ac:dyDescent="0.2">
      <c r="A594" s="7">
        <v>45470</v>
      </c>
      <c r="B594">
        <v>1</v>
      </c>
      <c r="D594" s="9"/>
      <c r="E594" s="9"/>
      <c r="F594" s="10">
        <v>45470</v>
      </c>
      <c r="G594">
        <v>300</v>
      </c>
    </row>
    <row r="595" spans="1:7" x14ac:dyDescent="0.2">
      <c r="A595" s="7">
        <v>45471</v>
      </c>
      <c r="B595">
        <v>1</v>
      </c>
      <c r="D595" s="9"/>
      <c r="E595" s="9"/>
      <c r="F595" s="10">
        <v>45471</v>
      </c>
      <c r="G595">
        <v>450</v>
      </c>
    </row>
    <row r="596" spans="1:7" x14ac:dyDescent="0.2">
      <c r="A596" s="7">
        <v>45472</v>
      </c>
      <c r="B596">
        <v>0</v>
      </c>
      <c r="D596" s="9"/>
      <c r="E596" s="9"/>
      <c r="F596" s="10">
        <v>45472</v>
      </c>
      <c r="G596">
        <v>0</v>
      </c>
    </row>
    <row r="597" spans="1:7" x14ac:dyDescent="0.2">
      <c r="A597" s="7">
        <v>45473</v>
      </c>
      <c r="B597">
        <v>0</v>
      </c>
      <c r="D597" s="9"/>
      <c r="E597" s="9"/>
      <c r="F597" s="10">
        <v>45473</v>
      </c>
      <c r="G597">
        <v>0</v>
      </c>
    </row>
    <row r="598" spans="1:7" x14ac:dyDescent="0.2">
      <c r="A598" s="7">
        <v>45474</v>
      </c>
      <c r="B598">
        <v>1</v>
      </c>
      <c r="D598" s="9"/>
      <c r="E598" s="9"/>
      <c r="F598" s="10">
        <v>45474</v>
      </c>
      <c r="G598">
        <v>700</v>
      </c>
    </row>
    <row r="599" spans="1:7" x14ac:dyDescent="0.2">
      <c r="A599" s="7">
        <v>45475</v>
      </c>
      <c r="B599">
        <v>0</v>
      </c>
      <c r="D599" s="9"/>
      <c r="E599" s="9"/>
      <c r="F599" s="10">
        <v>45475</v>
      </c>
      <c r="G599">
        <v>0</v>
      </c>
    </row>
    <row r="600" spans="1:7" x14ac:dyDescent="0.2">
      <c r="A600" s="7">
        <v>45476</v>
      </c>
      <c r="B600">
        <v>1</v>
      </c>
      <c r="D600" s="9"/>
      <c r="E600" s="9"/>
      <c r="F600" s="10">
        <v>45476</v>
      </c>
      <c r="G600">
        <v>300</v>
      </c>
    </row>
    <row r="601" spans="1:7" x14ac:dyDescent="0.2">
      <c r="A601" s="7">
        <v>45477</v>
      </c>
      <c r="B601">
        <v>0</v>
      </c>
      <c r="D601" s="9"/>
      <c r="E601" s="9"/>
      <c r="F601" s="10">
        <v>45477</v>
      </c>
      <c r="G601">
        <v>0</v>
      </c>
    </row>
    <row r="602" spans="1:7" x14ac:dyDescent="0.2">
      <c r="A602" s="7">
        <v>45478</v>
      </c>
      <c r="B602">
        <v>0</v>
      </c>
      <c r="D602" s="9"/>
      <c r="E602" s="9"/>
      <c r="F602" s="10">
        <v>45478</v>
      </c>
      <c r="G602">
        <v>0</v>
      </c>
    </row>
    <row r="603" spans="1:7" x14ac:dyDescent="0.2">
      <c r="A603" s="7">
        <v>45479</v>
      </c>
      <c r="B603">
        <v>0</v>
      </c>
      <c r="D603" s="9"/>
      <c r="E603" s="9"/>
      <c r="F603" s="10">
        <v>45479</v>
      </c>
      <c r="G603">
        <v>0</v>
      </c>
    </row>
    <row r="604" spans="1:7" x14ac:dyDescent="0.2">
      <c r="A604" s="7">
        <v>45480</v>
      </c>
      <c r="B604">
        <v>0</v>
      </c>
      <c r="D604" s="9"/>
      <c r="E604" s="9"/>
      <c r="F604" s="10">
        <v>45480</v>
      </c>
      <c r="G604">
        <v>0</v>
      </c>
    </row>
    <row r="605" spans="1:7" x14ac:dyDescent="0.2">
      <c r="A605" s="7">
        <v>45481</v>
      </c>
      <c r="B605">
        <v>0</v>
      </c>
      <c r="D605" s="9"/>
      <c r="E605" s="9"/>
      <c r="F605" s="10">
        <v>45481</v>
      </c>
      <c r="G605">
        <v>0</v>
      </c>
    </row>
    <row r="606" spans="1:7" x14ac:dyDescent="0.2">
      <c r="A606" s="7">
        <v>45482</v>
      </c>
      <c r="B606">
        <v>0</v>
      </c>
      <c r="D606" s="9"/>
      <c r="E606" s="9"/>
      <c r="F606" s="10">
        <v>45482</v>
      </c>
      <c r="G606">
        <v>0</v>
      </c>
    </row>
    <row r="607" spans="1:7" x14ac:dyDescent="0.2">
      <c r="A607" s="7">
        <v>45483</v>
      </c>
      <c r="B607">
        <v>0</v>
      </c>
      <c r="D607" s="9"/>
      <c r="E607" s="9"/>
      <c r="F607" s="10">
        <v>45483</v>
      </c>
      <c r="G607">
        <v>0</v>
      </c>
    </row>
    <row r="608" spans="1:7" x14ac:dyDescent="0.2">
      <c r="A608" s="7">
        <v>45484</v>
      </c>
      <c r="B608">
        <v>1</v>
      </c>
      <c r="D608" s="9"/>
      <c r="E608" s="9"/>
      <c r="F608" s="10">
        <v>45484</v>
      </c>
      <c r="G608">
        <v>450</v>
      </c>
    </row>
    <row r="609" spans="1:7" x14ac:dyDescent="0.2">
      <c r="A609" s="7">
        <v>45485</v>
      </c>
      <c r="B609">
        <v>0</v>
      </c>
      <c r="D609" s="9"/>
      <c r="E609" s="9"/>
      <c r="F609" s="10">
        <v>45485</v>
      </c>
      <c r="G609">
        <v>0</v>
      </c>
    </row>
    <row r="610" spans="1:7" x14ac:dyDescent="0.2">
      <c r="A610" s="7">
        <v>45486</v>
      </c>
      <c r="B610">
        <v>0</v>
      </c>
      <c r="D610" s="9"/>
      <c r="E610" s="9"/>
      <c r="F610" s="10">
        <v>45486</v>
      </c>
      <c r="G610">
        <v>0</v>
      </c>
    </row>
    <row r="611" spans="1:7" x14ac:dyDescent="0.2">
      <c r="A611" s="7">
        <v>45487</v>
      </c>
      <c r="B611">
        <v>0</v>
      </c>
      <c r="D611" s="9"/>
      <c r="E611" s="9"/>
      <c r="F611" s="10">
        <v>45487</v>
      </c>
      <c r="G611">
        <v>0</v>
      </c>
    </row>
    <row r="612" spans="1:7" x14ac:dyDescent="0.2">
      <c r="A612" s="7">
        <v>45488</v>
      </c>
      <c r="B612">
        <v>0</v>
      </c>
      <c r="D612" s="9"/>
      <c r="E612" s="9"/>
      <c r="F612" s="10">
        <v>45488</v>
      </c>
      <c r="G612">
        <v>0</v>
      </c>
    </row>
    <row r="613" spans="1:7" x14ac:dyDescent="0.2">
      <c r="A613" s="7">
        <v>45489</v>
      </c>
      <c r="B613">
        <v>0</v>
      </c>
      <c r="D613" s="9"/>
      <c r="E613" s="9"/>
      <c r="F613" s="10">
        <v>45489</v>
      </c>
      <c r="G613">
        <v>0</v>
      </c>
    </row>
    <row r="614" spans="1:7" x14ac:dyDescent="0.2">
      <c r="A614" s="7">
        <v>45490</v>
      </c>
      <c r="B614">
        <v>0</v>
      </c>
      <c r="D614" s="9"/>
      <c r="E614" s="9"/>
      <c r="F614" s="10">
        <v>45490</v>
      </c>
      <c r="G614">
        <v>0</v>
      </c>
    </row>
    <row r="615" spans="1:7" x14ac:dyDescent="0.2">
      <c r="A615" s="7">
        <v>45491</v>
      </c>
      <c r="B615">
        <v>0</v>
      </c>
      <c r="D615" s="9"/>
      <c r="E615" s="9"/>
      <c r="F615" s="10">
        <v>45491</v>
      </c>
      <c r="G615">
        <v>0</v>
      </c>
    </row>
    <row r="616" spans="1:7" x14ac:dyDescent="0.2">
      <c r="A616" s="7">
        <v>45492</v>
      </c>
      <c r="B616">
        <v>0</v>
      </c>
      <c r="D616" s="9"/>
      <c r="E616" s="9"/>
      <c r="F616" s="10">
        <v>45492</v>
      </c>
      <c r="G616">
        <v>0</v>
      </c>
    </row>
    <row r="617" spans="1:7" x14ac:dyDescent="0.2">
      <c r="A617" s="7">
        <v>45493</v>
      </c>
      <c r="B617">
        <v>0</v>
      </c>
      <c r="D617" s="9"/>
      <c r="E617" s="9"/>
      <c r="F617" s="10">
        <v>45493</v>
      </c>
      <c r="G617">
        <v>0</v>
      </c>
    </row>
    <row r="618" spans="1:7" x14ac:dyDescent="0.2">
      <c r="A618" s="7">
        <v>45494</v>
      </c>
      <c r="B618">
        <v>0</v>
      </c>
      <c r="D618" s="9"/>
      <c r="E618" s="9"/>
      <c r="F618" s="10">
        <v>45494</v>
      </c>
      <c r="G618">
        <v>0</v>
      </c>
    </row>
    <row r="619" spans="1:7" x14ac:dyDescent="0.2">
      <c r="A619" s="7">
        <v>45495</v>
      </c>
      <c r="B619">
        <v>0</v>
      </c>
      <c r="D619" s="9"/>
      <c r="E619" s="9"/>
      <c r="F619" s="10">
        <v>45495</v>
      </c>
      <c r="G619">
        <v>0</v>
      </c>
    </row>
    <row r="620" spans="1:7" x14ac:dyDescent="0.2">
      <c r="A620" s="7">
        <v>45496</v>
      </c>
      <c r="B620">
        <v>0</v>
      </c>
      <c r="D620" s="9"/>
      <c r="E620" s="9"/>
      <c r="F620" s="10">
        <v>45496</v>
      </c>
      <c r="G620">
        <v>0</v>
      </c>
    </row>
    <row r="621" spans="1:7" x14ac:dyDescent="0.2">
      <c r="A621" s="7">
        <v>45497</v>
      </c>
      <c r="B621">
        <v>0</v>
      </c>
      <c r="D621" s="9"/>
      <c r="E621" s="9"/>
      <c r="F621" s="10">
        <v>45497</v>
      </c>
      <c r="G621">
        <v>0</v>
      </c>
    </row>
    <row r="622" spans="1:7" x14ac:dyDescent="0.2">
      <c r="A622" s="7">
        <v>45498</v>
      </c>
      <c r="B622">
        <v>0</v>
      </c>
      <c r="D622" s="9"/>
      <c r="E622" s="9"/>
      <c r="F622" s="10">
        <v>45498</v>
      </c>
      <c r="G622">
        <v>0</v>
      </c>
    </row>
    <row r="623" spans="1:7" x14ac:dyDescent="0.2">
      <c r="A623" s="7">
        <v>45499</v>
      </c>
      <c r="B623">
        <v>0</v>
      </c>
      <c r="D623" s="9"/>
      <c r="E623" s="9"/>
      <c r="F623" s="10">
        <v>45499</v>
      </c>
      <c r="G623">
        <v>0</v>
      </c>
    </row>
    <row r="624" spans="1:7" x14ac:dyDescent="0.2">
      <c r="A624" s="7">
        <v>45500</v>
      </c>
      <c r="B624">
        <v>0</v>
      </c>
      <c r="D624" s="9"/>
      <c r="E624" s="9"/>
      <c r="F624" s="10">
        <v>45500</v>
      </c>
      <c r="G624">
        <v>0</v>
      </c>
    </row>
    <row r="625" spans="1:7" x14ac:dyDescent="0.2">
      <c r="A625" s="7">
        <v>45501</v>
      </c>
      <c r="B625">
        <v>0</v>
      </c>
      <c r="D625" s="9"/>
      <c r="E625" s="9"/>
      <c r="F625" s="10">
        <v>45501</v>
      </c>
      <c r="G625">
        <v>0</v>
      </c>
    </row>
    <row r="626" spans="1:7" x14ac:dyDescent="0.2">
      <c r="A626" s="7">
        <v>45502</v>
      </c>
      <c r="B626">
        <v>0</v>
      </c>
      <c r="D626" s="9"/>
      <c r="E626" s="9"/>
      <c r="F626" s="10">
        <v>45502</v>
      </c>
      <c r="G626">
        <v>0</v>
      </c>
    </row>
    <row r="627" spans="1:7" x14ac:dyDescent="0.2">
      <c r="A627" s="7">
        <v>45503</v>
      </c>
      <c r="B627">
        <v>0</v>
      </c>
      <c r="D627" s="9"/>
      <c r="E627" s="9"/>
      <c r="F627" s="10">
        <v>45503</v>
      </c>
      <c r="G627">
        <v>0</v>
      </c>
    </row>
    <row r="628" spans="1:7" x14ac:dyDescent="0.2">
      <c r="A628" s="7">
        <v>45504</v>
      </c>
      <c r="B628">
        <v>0</v>
      </c>
      <c r="D628" s="9"/>
      <c r="E628" s="9"/>
      <c r="F628" s="10">
        <v>45504</v>
      </c>
      <c r="G628">
        <v>0</v>
      </c>
    </row>
    <row r="629" spans="1:7" x14ac:dyDescent="0.2">
      <c r="A629" s="7">
        <v>45505</v>
      </c>
      <c r="B629">
        <v>0</v>
      </c>
      <c r="D629" s="9"/>
      <c r="E629" s="9"/>
      <c r="F629" s="10">
        <v>45505</v>
      </c>
      <c r="G629">
        <v>0</v>
      </c>
    </row>
    <row r="630" spans="1:7" x14ac:dyDescent="0.2">
      <c r="A630" s="7">
        <v>45506</v>
      </c>
      <c r="B630">
        <v>1</v>
      </c>
      <c r="D630" s="9"/>
      <c r="E630" s="9"/>
      <c r="F630" s="10">
        <v>45506</v>
      </c>
      <c r="G630">
        <v>700</v>
      </c>
    </row>
    <row r="631" spans="1:7" x14ac:dyDescent="0.2">
      <c r="A631" s="7">
        <v>45507</v>
      </c>
      <c r="B631">
        <v>0</v>
      </c>
      <c r="D631" s="9"/>
      <c r="E631" s="9"/>
      <c r="F631" s="10">
        <v>45507</v>
      </c>
      <c r="G631">
        <v>0</v>
      </c>
    </row>
    <row r="632" spans="1:7" x14ac:dyDescent="0.2">
      <c r="A632" s="7">
        <v>45508</v>
      </c>
      <c r="B632">
        <v>0</v>
      </c>
      <c r="D632" s="9"/>
      <c r="E632" s="9"/>
      <c r="F632" s="10">
        <v>45508</v>
      </c>
      <c r="G632">
        <v>0</v>
      </c>
    </row>
    <row r="633" spans="1:7" x14ac:dyDescent="0.2">
      <c r="A633" s="7">
        <v>45509</v>
      </c>
      <c r="B633">
        <v>0</v>
      </c>
      <c r="D633" s="9"/>
      <c r="E633" s="9"/>
      <c r="F633" s="10">
        <v>45509</v>
      </c>
      <c r="G633">
        <v>0</v>
      </c>
    </row>
    <row r="634" spans="1:7" x14ac:dyDescent="0.2">
      <c r="A634" s="7">
        <v>45510</v>
      </c>
      <c r="B634">
        <v>0</v>
      </c>
      <c r="D634" s="9"/>
      <c r="E634" s="9"/>
      <c r="F634" s="10">
        <v>45510</v>
      </c>
      <c r="G634">
        <v>0</v>
      </c>
    </row>
    <row r="635" spans="1:7" x14ac:dyDescent="0.2">
      <c r="A635" s="7">
        <v>45511</v>
      </c>
      <c r="B635">
        <v>0</v>
      </c>
      <c r="D635" s="9"/>
      <c r="E635" s="9"/>
      <c r="F635" s="10">
        <v>45511</v>
      </c>
      <c r="G635">
        <v>0</v>
      </c>
    </row>
    <row r="636" spans="1:7" x14ac:dyDescent="0.2">
      <c r="A636" s="7">
        <v>45512</v>
      </c>
      <c r="B636">
        <v>0</v>
      </c>
      <c r="D636" s="9"/>
      <c r="E636" s="9"/>
      <c r="F636" s="10">
        <v>45512</v>
      </c>
      <c r="G636">
        <v>0</v>
      </c>
    </row>
    <row r="637" spans="1:7" x14ac:dyDescent="0.2">
      <c r="A637" s="7">
        <v>45513</v>
      </c>
      <c r="B637">
        <v>1</v>
      </c>
      <c r="D637" s="9"/>
      <c r="E637" s="9"/>
      <c r="F637" s="10">
        <v>45513</v>
      </c>
      <c r="G637">
        <v>300</v>
      </c>
    </row>
    <row r="638" spans="1:7" x14ac:dyDescent="0.2">
      <c r="A638" s="7">
        <v>45514</v>
      </c>
      <c r="B638">
        <v>0</v>
      </c>
      <c r="D638" s="9"/>
      <c r="E638" s="9"/>
      <c r="F638" s="10">
        <v>45514</v>
      </c>
      <c r="G638">
        <v>0</v>
      </c>
    </row>
    <row r="639" spans="1:7" x14ac:dyDescent="0.2">
      <c r="A639" s="7">
        <v>45515</v>
      </c>
      <c r="B639">
        <v>0</v>
      </c>
      <c r="D639" s="9"/>
      <c r="E639" s="9"/>
      <c r="F639" s="10">
        <v>45515</v>
      </c>
      <c r="G639">
        <v>0</v>
      </c>
    </row>
    <row r="640" spans="1:7" x14ac:dyDescent="0.2">
      <c r="A640" s="7">
        <v>45516</v>
      </c>
      <c r="B640">
        <v>0</v>
      </c>
      <c r="D640" s="9"/>
      <c r="E640" s="9"/>
      <c r="F640" s="10">
        <v>45516</v>
      </c>
      <c r="G640">
        <v>0</v>
      </c>
    </row>
    <row r="641" spans="1:7" x14ac:dyDescent="0.2">
      <c r="A641" s="7">
        <v>45517</v>
      </c>
      <c r="B641">
        <v>0</v>
      </c>
      <c r="D641" s="9"/>
      <c r="E641" s="9"/>
      <c r="F641" s="10">
        <v>45517</v>
      </c>
      <c r="G641">
        <v>0</v>
      </c>
    </row>
    <row r="642" spans="1:7" x14ac:dyDescent="0.2">
      <c r="A642" s="7">
        <v>45518</v>
      </c>
      <c r="B642">
        <v>1</v>
      </c>
      <c r="D642" s="9"/>
      <c r="E642" s="9"/>
      <c r="F642" s="10">
        <v>45518</v>
      </c>
      <c r="G642">
        <v>450</v>
      </c>
    </row>
    <row r="643" spans="1:7" x14ac:dyDescent="0.2">
      <c r="A643" s="7">
        <v>45519</v>
      </c>
      <c r="B643">
        <v>0</v>
      </c>
      <c r="D643" s="9"/>
      <c r="E643" s="9"/>
      <c r="F643" s="10">
        <v>45519</v>
      </c>
      <c r="G643">
        <v>0</v>
      </c>
    </row>
    <row r="644" spans="1:7" x14ac:dyDescent="0.2">
      <c r="A644" s="7">
        <v>45520</v>
      </c>
      <c r="B644">
        <v>0</v>
      </c>
      <c r="D644" s="9"/>
      <c r="E644" s="9"/>
      <c r="F644" s="10">
        <v>45520</v>
      </c>
      <c r="G644">
        <v>0</v>
      </c>
    </row>
    <row r="645" spans="1:7" x14ac:dyDescent="0.2">
      <c r="A645" s="7">
        <v>45521</v>
      </c>
      <c r="B645">
        <v>0</v>
      </c>
      <c r="D645" s="9"/>
      <c r="E645" s="9"/>
      <c r="F645" s="10">
        <v>45521</v>
      </c>
      <c r="G645">
        <v>0</v>
      </c>
    </row>
    <row r="646" spans="1:7" x14ac:dyDescent="0.2">
      <c r="A646" s="7">
        <v>45522</v>
      </c>
      <c r="B646">
        <v>0</v>
      </c>
      <c r="D646" s="9"/>
      <c r="E646" s="9"/>
      <c r="F646" s="10">
        <v>45522</v>
      </c>
      <c r="G646">
        <v>0</v>
      </c>
    </row>
    <row r="647" spans="1:7" x14ac:dyDescent="0.2">
      <c r="A647" s="7">
        <v>45523</v>
      </c>
      <c r="B647">
        <v>0</v>
      </c>
      <c r="D647" s="9"/>
      <c r="E647" s="9"/>
      <c r="F647" s="10">
        <v>45523</v>
      </c>
      <c r="G647">
        <v>0</v>
      </c>
    </row>
    <row r="648" spans="1:7" x14ac:dyDescent="0.2">
      <c r="A648" s="7">
        <v>45524</v>
      </c>
      <c r="B648">
        <v>0</v>
      </c>
      <c r="D648" s="9"/>
      <c r="E648" s="9"/>
      <c r="F648" s="10">
        <v>45524</v>
      </c>
      <c r="G648">
        <v>0</v>
      </c>
    </row>
    <row r="649" spans="1:7" x14ac:dyDescent="0.2">
      <c r="A649" s="7">
        <v>45525</v>
      </c>
      <c r="B649">
        <v>0</v>
      </c>
      <c r="D649" s="9"/>
      <c r="E649" s="9"/>
      <c r="F649" s="10">
        <v>45525</v>
      </c>
      <c r="G649">
        <v>0</v>
      </c>
    </row>
    <row r="650" spans="1:7" x14ac:dyDescent="0.2">
      <c r="A650" s="7">
        <v>45526</v>
      </c>
      <c r="B650">
        <v>1</v>
      </c>
      <c r="D650" s="9"/>
      <c r="E650" s="9"/>
      <c r="F650" s="10">
        <v>45526</v>
      </c>
      <c r="G650">
        <v>700</v>
      </c>
    </row>
    <row r="651" spans="1:7" x14ac:dyDescent="0.2">
      <c r="A651" s="7">
        <v>45527</v>
      </c>
      <c r="B651">
        <v>0</v>
      </c>
      <c r="D651" s="9"/>
      <c r="E651" s="9"/>
      <c r="F651" s="10">
        <v>45527</v>
      </c>
      <c r="G651">
        <v>0</v>
      </c>
    </row>
    <row r="652" spans="1:7" x14ac:dyDescent="0.2">
      <c r="A652" s="7">
        <v>45528</v>
      </c>
      <c r="B652">
        <v>0</v>
      </c>
      <c r="D652" s="9"/>
      <c r="E652" s="9"/>
      <c r="F652" s="10">
        <v>45528</v>
      </c>
      <c r="G652">
        <v>0</v>
      </c>
    </row>
    <row r="653" spans="1:7" x14ac:dyDescent="0.2">
      <c r="A653" s="7">
        <v>45529</v>
      </c>
      <c r="B653">
        <v>0</v>
      </c>
      <c r="D653" s="9"/>
      <c r="E653" s="9"/>
      <c r="F653" s="10">
        <v>45529</v>
      </c>
      <c r="G653">
        <v>0</v>
      </c>
    </row>
    <row r="654" spans="1:7" x14ac:dyDescent="0.2">
      <c r="A654" s="7">
        <v>45530</v>
      </c>
      <c r="B654">
        <v>1</v>
      </c>
      <c r="D654" s="9"/>
      <c r="E654" s="9"/>
      <c r="F654" s="10">
        <v>45530</v>
      </c>
      <c r="G654">
        <v>300</v>
      </c>
    </row>
    <row r="655" spans="1:7" x14ac:dyDescent="0.2">
      <c r="A655" s="7">
        <v>45531</v>
      </c>
      <c r="B655">
        <v>0</v>
      </c>
      <c r="D655" s="9"/>
      <c r="E655" s="9"/>
      <c r="F655" s="10">
        <v>45531</v>
      </c>
      <c r="G655">
        <v>0</v>
      </c>
    </row>
    <row r="656" spans="1:7" x14ac:dyDescent="0.2">
      <c r="A656" s="7">
        <v>45532</v>
      </c>
      <c r="B656">
        <v>0</v>
      </c>
      <c r="D656" s="9"/>
      <c r="E656" s="9"/>
      <c r="F656" s="10">
        <v>45532</v>
      </c>
      <c r="G656">
        <v>0</v>
      </c>
    </row>
    <row r="657" spans="1:7" x14ac:dyDescent="0.2">
      <c r="A657" s="7">
        <v>45533</v>
      </c>
      <c r="B657">
        <v>1</v>
      </c>
      <c r="D657" s="9"/>
      <c r="E657" s="9"/>
      <c r="F657" s="10">
        <v>45533</v>
      </c>
      <c r="G657">
        <v>450</v>
      </c>
    </row>
    <row r="658" spans="1:7" x14ac:dyDescent="0.2">
      <c r="A658" s="7">
        <v>45534</v>
      </c>
      <c r="B658">
        <v>1</v>
      </c>
      <c r="D658" s="9"/>
      <c r="E658" s="9"/>
      <c r="F658" s="10">
        <v>45534</v>
      </c>
      <c r="G658">
        <v>700</v>
      </c>
    </row>
    <row r="659" spans="1:7" x14ac:dyDescent="0.2">
      <c r="A659" s="7">
        <v>45535</v>
      </c>
      <c r="B659">
        <v>0</v>
      </c>
      <c r="D659" s="9"/>
      <c r="E659" s="9"/>
      <c r="F659" s="10">
        <v>45535</v>
      </c>
      <c r="G659">
        <v>0</v>
      </c>
    </row>
    <row r="660" spans="1:7" x14ac:dyDescent="0.2">
      <c r="A660" s="7">
        <v>45536</v>
      </c>
      <c r="B660">
        <v>0</v>
      </c>
      <c r="D660" s="9"/>
      <c r="E660" s="9"/>
      <c r="F660" s="10">
        <v>45536</v>
      </c>
      <c r="G660">
        <v>0</v>
      </c>
    </row>
    <row r="661" spans="1:7" x14ac:dyDescent="0.2">
      <c r="A661" s="7">
        <v>45537</v>
      </c>
      <c r="B661">
        <v>0</v>
      </c>
      <c r="D661" s="9"/>
      <c r="E661" s="9"/>
      <c r="F661" s="10">
        <v>45537</v>
      </c>
      <c r="G661">
        <v>0</v>
      </c>
    </row>
    <row r="662" spans="1:7" x14ac:dyDescent="0.2">
      <c r="A662" s="7">
        <v>45538</v>
      </c>
      <c r="B662">
        <v>0</v>
      </c>
      <c r="D662" s="9"/>
      <c r="E662" s="9"/>
      <c r="F662" s="10">
        <v>45538</v>
      </c>
      <c r="G662">
        <v>0</v>
      </c>
    </row>
    <row r="663" spans="1:7" x14ac:dyDescent="0.2">
      <c r="A663" s="7">
        <v>45539</v>
      </c>
      <c r="B663">
        <v>0</v>
      </c>
      <c r="D663" s="9"/>
      <c r="E663" s="9"/>
      <c r="F663" s="10">
        <v>45539</v>
      </c>
      <c r="G663">
        <v>0</v>
      </c>
    </row>
    <row r="664" spans="1:7" x14ac:dyDescent="0.2">
      <c r="A664" s="7">
        <v>45540</v>
      </c>
      <c r="B664">
        <v>0</v>
      </c>
      <c r="D664" s="9"/>
      <c r="E664" s="9"/>
      <c r="F664" s="10">
        <v>45540</v>
      </c>
      <c r="G664">
        <v>0</v>
      </c>
    </row>
    <row r="665" spans="1:7" x14ac:dyDescent="0.2">
      <c r="A665" s="7">
        <v>45541</v>
      </c>
      <c r="B665">
        <v>0</v>
      </c>
      <c r="D665" s="9"/>
      <c r="E665" s="9"/>
      <c r="F665" s="10">
        <v>45541</v>
      </c>
      <c r="G665">
        <v>0</v>
      </c>
    </row>
    <row r="666" spans="1:7" x14ac:dyDescent="0.2">
      <c r="A666" s="7">
        <v>45542</v>
      </c>
      <c r="B666">
        <v>0</v>
      </c>
      <c r="D666" s="9"/>
      <c r="E666" s="9"/>
      <c r="F666" s="10">
        <v>45542</v>
      </c>
      <c r="G666">
        <v>0</v>
      </c>
    </row>
    <row r="667" spans="1:7" x14ac:dyDescent="0.2">
      <c r="A667" s="7">
        <v>45543</v>
      </c>
      <c r="B667">
        <v>0</v>
      </c>
      <c r="D667" s="9"/>
      <c r="E667" s="9"/>
      <c r="F667" s="10">
        <v>45543</v>
      </c>
      <c r="G667">
        <v>0</v>
      </c>
    </row>
    <row r="668" spans="1:7" x14ac:dyDescent="0.2">
      <c r="A668" s="7">
        <v>45544</v>
      </c>
      <c r="B668">
        <v>0</v>
      </c>
      <c r="D668" s="9"/>
      <c r="E668" s="9"/>
      <c r="F668" s="10">
        <v>45544</v>
      </c>
      <c r="G668">
        <v>0</v>
      </c>
    </row>
    <row r="669" spans="1:7" x14ac:dyDescent="0.2">
      <c r="A669" s="7">
        <v>45545</v>
      </c>
      <c r="B669">
        <v>0</v>
      </c>
      <c r="D669" s="9"/>
      <c r="E669" s="9"/>
      <c r="F669" s="10">
        <v>45545</v>
      </c>
      <c r="G669">
        <v>0</v>
      </c>
    </row>
    <row r="670" spans="1:7" x14ac:dyDescent="0.2">
      <c r="A670" s="7">
        <v>45546</v>
      </c>
      <c r="B670">
        <v>0</v>
      </c>
      <c r="D670" s="9"/>
      <c r="E670" s="9"/>
      <c r="F670" s="10">
        <v>45546</v>
      </c>
      <c r="G670">
        <v>0</v>
      </c>
    </row>
    <row r="671" spans="1:7" x14ac:dyDescent="0.2">
      <c r="A671" s="7">
        <v>45547</v>
      </c>
      <c r="B671">
        <v>0</v>
      </c>
      <c r="D671" s="9"/>
      <c r="E671" s="9"/>
      <c r="F671" s="10">
        <v>45547</v>
      </c>
      <c r="G671">
        <v>0</v>
      </c>
    </row>
    <row r="672" spans="1:7" x14ac:dyDescent="0.2">
      <c r="A672" s="7">
        <v>45548</v>
      </c>
      <c r="B672">
        <v>0</v>
      </c>
      <c r="D672" s="9"/>
      <c r="E672" s="9"/>
      <c r="F672" s="10">
        <v>45548</v>
      </c>
      <c r="G672">
        <v>0</v>
      </c>
    </row>
    <row r="673" spans="1:7" x14ac:dyDescent="0.2">
      <c r="A673" s="7">
        <v>45549</v>
      </c>
      <c r="B673">
        <v>0</v>
      </c>
      <c r="D673" s="9"/>
      <c r="E673" s="9"/>
      <c r="F673" s="10">
        <v>45549</v>
      </c>
      <c r="G673">
        <v>0</v>
      </c>
    </row>
    <row r="674" spans="1:7" x14ac:dyDescent="0.2">
      <c r="A674" s="7">
        <v>45550</v>
      </c>
      <c r="B674">
        <v>0</v>
      </c>
      <c r="D674" s="9"/>
      <c r="E674" s="9"/>
      <c r="F674" s="10">
        <v>45550</v>
      </c>
      <c r="G674">
        <v>0</v>
      </c>
    </row>
    <row r="675" spans="1:7" x14ac:dyDescent="0.2">
      <c r="A675" s="7">
        <v>45551</v>
      </c>
      <c r="B675">
        <v>0</v>
      </c>
      <c r="D675" s="9"/>
      <c r="E675" s="9"/>
      <c r="F675" s="10">
        <v>45551</v>
      </c>
      <c r="G675">
        <v>0</v>
      </c>
    </row>
    <row r="676" spans="1:7" x14ac:dyDescent="0.2">
      <c r="A676" s="7">
        <v>45552</v>
      </c>
      <c r="B676">
        <v>0</v>
      </c>
      <c r="D676" s="9"/>
      <c r="E676" s="9"/>
      <c r="F676" s="10">
        <v>45552</v>
      </c>
      <c r="G676">
        <v>0</v>
      </c>
    </row>
    <row r="677" spans="1:7" x14ac:dyDescent="0.2">
      <c r="A677" s="7">
        <v>45553</v>
      </c>
      <c r="B677">
        <v>0</v>
      </c>
      <c r="D677" s="9"/>
      <c r="E677" s="9"/>
      <c r="F677" s="10">
        <v>45553</v>
      </c>
      <c r="G677">
        <v>0</v>
      </c>
    </row>
    <row r="678" spans="1:7" x14ac:dyDescent="0.2">
      <c r="A678" s="7">
        <v>45554</v>
      </c>
      <c r="B678">
        <v>0</v>
      </c>
      <c r="D678" s="9"/>
      <c r="E678" s="9"/>
      <c r="F678" s="10">
        <v>45554</v>
      </c>
      <c r="G678">
        <v>0</v>
      </c>
    </row>
    <row r="679" spans="1:7" x14ac:dyDescent="0.2">
      <c r="A679" s="7">
        <v>45555</v>
      </c>
      <c r="B679">
        <v>0</v>
      </c>
      <c r="D679" s="9"/>
      <c r="E679" s="9"/>
      <c r="F679" s="10">
        <v>45555</v>
      </c>
      <c r="G679">
        <v>0</v>
      </c>
    </row>
    <row r="680" spans="1:7" x14ac:dyDescent="0.2">
      <c r="A680" s="7">
        <v>45556</v>
      </c>
      <c r="B680">
        <v>0</v>
      </c>
      <c r="D680" s="9"/>
      <c r="E680" s="9"/>
      <c r="F680" s="10">
        <v>45556</v>
      </c>
      <c r="G680">
        <v>0</v>
      </c>
    </row>
    <row r="681" spans="1:7" x14ac:dyDescent="0.2">
      <c r="A681" s="7">
        <v>45557</v>
      </c>
      <c r="B681">
        <v>0</v>
      </c>
      <c r="D681" s="9"/>
      <c r="E681" s="9"/>
      <c r="F681" s="10">
        <v>45557</v>
      </c>
      <c r="G681">
        <v>0</v>
      </c>
    </row>
    <row r="682" spans="1:7" x14ac:dyDescent="0.2">
      <c r="A682" s="7">
        <v>45558</v>
      </c>
      <c r="B682">
        <v>0</v>
      </c>
      <c r="D682" s="9"/>
      <c r="E682" s="9"/>
      <c r="F682" s="10">
        <v>45558</v>
      </c>
      <c r="G682">
        <v>0</v>
      </c>
    </row>
    <row r="683" spans="1:7" x14ac:dyDescent="0.2">
      <c r="A683" s="7">
        <v>45559</v>
      </c>
      <c r="B683">
        <v>0</v>
      </c>
      <c r="D683" s="9"/>
      <c r="E683" s="9"/>
      <c r="F683" s="10">
        <v>45559</v>
      </c>
      <c r="G683">
        <v>0</v>
      </c>
    </row>
    <row r="684" spans="1:7" x14ac:dyDescent="0.2">
      <c r="A684" s="7">
        <v>45560</v>
      </c>
      <c r="B684">
        <v>1</v>
      </c>
      <c r="D684" s="9"/>
      <c r="E684" s="9"/>
      <c r="F684" s="10">
        <v>45560</v>
      </c>
      <c r="G684">
        <v>300</v>
      </c>
    </row>
    <row r="685" spans="1:7" x14ac:dyDescent="0.2">
      <c r="A685" s="7">
        <v>45561</v>
      </c>
      <c r="B685">
        <v>0</v>
      </c>
      <c r="D685" s="9"/>
      <c r="E685" s="9"/>
      <c r="F685" s="10">
        <v>45561</v>
      </c>
      <c r="G685">
        <v>0</v>
      </c>
    </row>
    <row r="686" spans="1:7" x14ac:dyDescent="0.2">
      <c r="A686" s="7">
        <v>45562</v>
      </c>
      <c r="B686">
        <v>1</v>
      </c>
      <c r="D686" s="9"/>
      <c r="E686" s="9"/>
      <c r="F686" s="10">
        <v>45562</v>
      </c>
      <c r="G686">
        <v>450</v>
      </c>
    </row>
    <row r="687" spans="1:7" x14ac:dyDescent="0.2">
      <c r="A687" s="7">
        <v>45563</v>
      </c>
      <c r="B687">
        <v>0</v>
      </c>
      <c r="D687" s="9"/>
      <c r="E687" s="9"/>
      <c r="F687" s="10">
        <v>45563</v>
      </c>
      <c r="G687">
        <v>0</v>
      </c>
    </row>
    <row r="688" spans="1:7" x14ac:dyDescent="0.2">
      <c r="A688" s="7">
        <v>45564</v>
      </c>
      <c r="B688">
        <v>0</v>
      </c>
      <c r="D688" s="9"/>
      <c r="E688" s="9"/>
      <c r="F688" s="10">
        <v>45564</v>
      </c>
      <c r="G688">
        <v>0</v>
      </c>
    </row>
    <row r="689" spans="1:7" x14ac:dyDescent="0.2">
      <c r="A689" s="7">
        <v>45565</v>
      </c>
      <c r="B689">
        <v>0</v>
      </c>
      <c r="D689" s="9"/>
      <c r="E689" s="9"/>
      <c r="F689" s="10">
        <v>45565</v>
      </c>
      <c r="G689">
        <v>0</v>
      </c>
    </row>
    <row r="690" spans="1:7" x14ac:dyDescent="0.2">
      <c r="A690" s="7">
        <v>45566</v>
      </c>
      <c r="B690">
        <v>1</v>
      </c>
      <c r="D690" s="9"/>
      <c r="E690" s="9"/>
      <c r="F690" s="10">
        <v>45566</v>
      </c>
      <c r="G690">
        <v>700</v>
      </c>
    </row>
    <row r="691" spans="1:7" x14ac:dyDescent="0.2">
      <c r="A691" s="7">
        <v>45567</v>
      </c>
      <c r="B691">
        <v>0</v>
      </c>
      <c r="D691" s="9"/>
      <c r="E691" s="9"/>
      <c r="F691" s="10">
        <v>45567</v>
      </c>
      <c r="G691">
        <v>0</v>
      </c>
    </row>
    <row r="692" spans="1:7" x14ac:dyDescent="0.2">
      <c r="A692" s="7">
        <v>45568</v>
      </c>
      <c r="B692">
        <v>0</v>
      </c>
      <c r="D692" s="9"/>
      <c r="E692" s="9"/>
      <c r="F692" s="10">
        <v>45568</v>
      </c>
      <c r="G692">
        <v>0</v>
      </c>
    </row>
    <row r="693" spans="1:7" x14ac:dyDescent="0.2">
      <c r="A693" s="7">
        <v>45569</v>
      </c>
      <c r="B693">
        <v>0</v>
      </c>
      <c r="D693" s="9"/>
      <c r="E693" s="9"/>
      <c r="F693" s="10">
        <v>45569</v>
      </c>
      <c r="G693">
        <v>0</v>
      </c>
    </row>
    <row r="694" spans="1:7" x14ac:dyDescent="0.2">
      <c r="A694" s="7">
        <v>45570</v>
      </c>
      <c r="B694">
        <v>0</v>
      </c>
      <c r="D694" s="9"/>
      <c r="E694" s="9"/>
      <c r="F694" s="10">
        <v>45570</v>
      </c>
      <c r="G694">
        <v>0</v>
      </c>
    </row>
    <row r="695" spans="1:7" x14ac:dyDescent="0.2">
      <c r="A695" s="7">
        <v>45571</v>
      </c>
      <c r="B695">
        <v>1</v>
      </c>
      <c r="D695" s="9"/>
      <c r="E695" s="9"/>
      <c r="F695" s="10">
        <v>45571</v>
      </c>
      <c r="G695">
        <v>300</v>
      </c>
    </row>
    <row r="696" spans="1:7" x14ac:dyDescent="0.2">
      <c r="A696" s="7">
        <v>45572</v>
      </c>
      <c r="B696">
        <v>0</v>
      </c>
      <c r="D696" s="9"/>
      <c r="E696" s="9"/>
      <c r="F696" s="10">
        <v>45572</v>
      </c>
      <c r="G696">
        <v>0</v>
      </c>
    </row>
    <row r="697" spans="1:7" x14ac:dyDescent="0.2">
      <c r="A697" s="7">
        <v>45573</v>
      </c>
      <c r="B697">
        <v>0</v>
      </c>
      <c r="D697" s="9"/>
      <c r="E697" s="9"/>
      <c r="F697" s="10">
        <v>45573</v>
      </c>
      <c r="G697">
        <v>0</v>
      </c>
    </row>
    <row r="698" spans="1:7" x14ac:dyDescent="0.2">
      <c r="A698" s="7">
        <v>45574</v>
      </c>
      <c r="B698">
        <v>0</v>
      </c>
      <c r="D698" s="9"/>
      <c r="E698" s="9"/>
      <c r="F698" s="10">
        <v>45574</v>
      </c>
      <c r="G698">
        <v>0</v>
      </c>
    </row>
    <row r="699" spans="1:7" x14ac:dyDescent="0.2">
      <c r="A699" s="7">
        <v>45575</v>
      </c>
      <c r="B699">
        <v>0</v>
      </c>
      <c r="D699" s="9"/>
      <c r="E699" s="9"/>
      <c r="F699" s="10">
        <v>45575</v>
      </c>
      <c r="G699">
        <v>0</v>
      </c>
    </row>
    <row r="700" spans="1:7" x14ac:dyDescent="0.2">
      <c r="A700" s="7">
        <v>45576</v>
      </c>
      <c r="B700">
        <v>0</v>
      </c>
      <c r="D700" s="9"/>
      <c r="E700" s="9"/>
      <c r="F700" s="10">
        <v>45576</v>
      </c>
      <c r="G700">
        <v>0</v>
      </c>
    </row>
    <row r="701" spans="1:7" x14ac:dyDescent="0.2">
      <c r="A701" s="7">
        <v>45577</v>
      </c>
      <c r="B701">
        <v>0</v>
      </c>
      <c r="D701" s="9"/>
      <c r="E701" s="9"/>
      <c r="F701" s="10">
        <v>45577</v>
      </c>
      <c r="G701">
        <v>0</v>
      </c>
    </row>
    <row r="702" spans="1:7" x14ac:dyDescent="0.2">
      <c r="A702" s="7">
        <v>45578</v>
      </c>
      <c r="B702">
        <v>0</v>
      </c>
      <c r="D702" s="9"/>
      <c r="E702" s="9"/>
      <c r="F702" s="10">
        <v>45578</v>
      </c>
      <c r="G702">
        <v>0</v>
      </c>
    </row>
    <row r="703" spans="1:7" x14ac:dyDescent="0.2">
      <c r="A703" s="7">
        <v>45579</v>
      </c>
      <c r="B703">
        <v>0</v>
      </c>
      <c r="D703" s="9"/>
      <c r="E703" s="9"/>
      <c r="F703" s="10">
        <v>45579</v>
      </c>
      <c r="G703">
        <v>0</v>
      </c>
    </row>
    <row r="704" spans="1:7" x14ac:dyDescent="0.2">
      <c r="A704" s="7">
        <v>45580</v>
      </c>
      <c r="B704">
        <v>0</v>
      </c>
      <c r="D704" s="9"/>
      <c r="E704" s="9"/>
      <c r="F704" s="10">
        <v>45580</v>
      </c>
      <c r="G704">
        <v>0</v>
      </c>
    </row>
    <row r="705" spans="1:7" x14ac:dyDescent="0.2">
      <c r="A705" s="7">
        <v>45581</v>
      </c>
      <c r="B705">
        <v>1</v>
      </c>
      <c r="D705" s="9"/>
      <c r="E705" s="9"/>
      <c r="F705" s="10">
        <v>45581</v>
      </c>
      <c r="G705">
        <v>450</v>
      </c>
    </row>
    <row r="706" spans="1:7" x14ac:dyDescent="0.2">
      <c r="A706" s="7">
        <v>45582</v>
      </c>
      <c r="B706">
        <v>0</v>
      </c>
      <c r="D706" s="9"/>
      <c r="E706" s="9"/>
      <c r="F706" s="10">
        <v>45582</v>
      </c>
      <c r="G706">
        <v>0</v>
      </c>
    </row>
    <row r="707" spans="1:7" x14ac:dyDescent="0.2">
      <c r="A707" s="7">
        <v>45583</v>
      </c>
      <c r="B707">
        <v>0</v>
      </c>
      <c r="D707" s="9"/>
      <c r="E707" s="9"/>
      <c r="F707" s="10">
        <v>45583</v>
      </c>
      <c r="G707">
        <v>0</v>
      </c>
    </row>
    <row r="708" spans="1:7" x14ac:dyDescent="0.2">
      <c r="A708" s="7">
        <v>45584</v>
      </c>
      <c r="B708">
        <v>0</v>
      </c>
      <c r="D708" s="9"/>
      <c r="E708" s="9"/>
      <c r="F708" s="10">
        <v>45584</v>
      </c>
      <c r="G708">
        <v>0</v>
      </c>
    </row>
    <row r="709" spans="1:7" x14ac:dyDescent="0.2">
      <c r="A709" s="7">
        <v>45585</v>
      </c>
      <c r="B709">
        <v>0</v>
      </c>
      <c r="D709" s="9"/>
      <c r="E709" s="9"/>
      <c r="F709" s="10">
        <v>45585</v>
      </c>
      <c r="G709">
        <v>0</v>
      </c>
    </row>
    <row r="710" spans="1:7" x14ac:dyDescent="0.2">
      <c r="A710" s="7">
        <v>45586</v>
      </c>
      <c r="B710">
        <v>0</v>
      </c>
      <c r="D710" s="9"/>
      <c r="E710" s="9"/>
      <c r="F710" s="10">
        <v>45586</v>
      </c>
      <c r="G710">
        <v>0</v>
      </c>
    </row>
    <row r="711" spans="1:7" x14ac:dyDescent="0.2">
      <c r="A711" s="7">
        <v>45587</v>
      </c>
      <c r="B711">
        <v>0</v>
      </c>
      <c r="D711" s="9"/>
      <c r="E711" s="9"/>
      <c r="F711" s="10">
        <v>45587</v>
      </c>
      <c r="G711">
        <v>0</v>
      </c>
    </row>
    <row r="712" spans="1:7" x14ac:dyDescent="0.2">
      <c r="A712" s="7">
        <v>45588</v>
      </c>
      <c r="B712">
        <v>1</v>
      </c>
      <c r="D712" s="9"/>
      <c r="E712" s="9"/>
      <c r="F712" s="10">
        <v>45588</v>
      </c>
      <c r="G712">
        <v>700</v>
      </c>
    </row>
    <row r="713" spans="1:7" x14ac:dyDescent="0.2">
      <c r="A713" s="7">
        <v>45589</v>
      </c>
      <c r="B713">
        <v>0</v>
      </c>
      <c r="D713" s="9"/>
      <c r="E713" s="9"/>
      <c r="F713" s="10">
        <v>45589</v>
      </c>
      <c r="G713">
        <v>0</v>
      </c>
    </row>
    <row r="714" spans="1:7" x14ac:dyDescent="0.2">
      <c r="A714" s="7">
        <v>45590</v>
      </c>
      <c r="B714">
        <v>1</v>
      </c>
      <c r="D714" s="9"/>
      <c r="E714" s="9"/>
      <c r="F714" s="10">
        <v>45590</v>
      </c>
      <c r="G714">
        <v>300</v>
      </c>
    </row>
    <row r="715" spans="1:7" x14ac:dyDescent="0.2">
      <c r="A715" s="7">
        <v>45591</v>
      </c>
      <c r="B715">
        <v>0</v>
      </c>
      <c r="D715" s="9"/>
      <c r="E715" s="9"/>
      <c r="F715" s="10">
        <v>45591</v>
      </c>
      <c r="G715">
        <v>0</v>
      </c>
    </row>
    <row r="716" spans="1:7" x14ac:dyDescent="0.2">
      <c r="A716" s="7">
        <v>45592</v>
      </c>
      <c r="B716">
        <v>0</v>
      </c>
      <c r="D716" s="9"/>
      <c r="E716" s="9"/>
      <c r="F716" s="10">
        <v>45592</v>
      </c>
      <c r="G716">
        <v>0</v>
      </c>
    </row>
    <row r="717" spans="1:7" x14ac:dyDescent="0.2">
      <c r="A717" s="7">
        <v>45593</v>
      </c>
      <c r="B717">
        <v>1</v>
      </c>
      <c r="D717" s="9"/>
      <c r="E717" s="9"/>
      <c r="F717" s="10">
        <v>45593</v>
      </c>
      <c r="G717">
        <v>450</v>
      </c>
    </row>
    <row r="718" spans="1:7" x14ac:dyDescent="0.2">
      <c r="A718" s="7">
        <v>45594</v>
      </c>
      <c r="B718">
        <v>0</v>
      </c>
      <c r="D718" s="9"/>
      <c r="E718" s="9"/>
      <c r="F718" s="10">
        <v>45594</v>
      </c>
      <c r="G718">
        <v>0</v>
      </c>
    </row>
    <row r="719" spans="1:7" x14ac:dyDescent="0.2">
      <c r="A719" s="7">
        <v>45595</v>
      </c>
      <c r="B719">
        <v>0</v>
      </c>
      <c r="D719" s="9"/>
      <c r="E719" s="9"/>
      <c r="F719" s="10">
        <v>45595</v>
      </c>
      <c r="G719">
        <v>0</v>
      </c>
    </row>
    <row r="720" spans="1:7" x14ac:dyDescent="0.2">
      <c r="A720" s="7">
        <v>45596</v>
      </c>
      <c r="B720">
        <v>0</v>
      </c>
      <c r="D720" s="9"/>
      <c r="E720" s="9"/>
      <c r="F720" s="10">
        <v>45596</v>
      </c>
      <c r="G720">
        <v>0</v>
      </c>
    </row>
    <row r="721" spans="1:10" x14ac:dyDescent="0.2">
      <c r="A721" s="7">
        <v>45597</v>
      </c>
      <c r="B721">
        <v>0</v>
      </c>
      <c r="D721" s="9"/>
      <c r="E721" s="9"/>
      <c r="F721" s="10">
        <v>45597</v>
      </c>
      <c r="G721">
        <v>0</v>
      </c>
    </row>
    <row r="722" spans="1:10" x14ac:dyDescent="0.2">
      <c r="A722" s="7">
        <v>45598</v>
      </c>
      <c r="B722">
        <v>1</v>
      </c>
      <c r="C722">
        <v>1</v>
      </c>
      <c r="D722" s="9">
        <v>1</v>
      </c>
      <c r="E722" s="9">
        <v>1</v>
      </c>
      <c r="F722" s="10">
        <v>45598</v>
      </c>
      <c r="G722">
        <v>700</v>
      </c>
      <c r="H722">
        <v>700</v>
      </c>
      <c r="I722" s="9">
        <v>700</v>
      </c>
      <c r="J722" s="9">
        <v>700</v>
      </c>
    </row>
    <row r="723" spans="1:10" x14ac:dyDescent="0.2">
      <c r="A723" s="7">
        <v>45599</v>
      </c>
      <c r="C723">
        <f t="shared" ref="C723:C754" si="0">_xlfn.FORECAST.ETS(A723,$B$2:$B$722,$A$2:$A$722,1,1)</f>
        <v>0.97711240227329776</v>
      </c>
      <c r="D723" s="9">
        <f t="shared" ref="D723:D754" si="1">C723-_xlfn.FORECAST.ETS.CONFINT(A723,$B$2:$B$722,$A$2:$A$722,0.95,1,1)</f>
        <v>0.22977314515153557</v>
      </c>
      <c r="E723" s="9">
        <f t="shared" ref="E723:E754" si="2">C723+_xlfn.FORECAST.ETS.CONFINT(A723,$B$2:$B$722,$A$2:$A$722,0.95,1,1)</f>
        <v>1.7244516593950601</v>
      </c>
      <c r="F723" s="10">
        <v>45599</v>
      </c>
      <c r="H723">
        <f t="shared" ref="H723:H754" si="3">_xlfn.FORECAST.ETS(F723,$G$2:$G$722,$F$2:$F$722,1,1)</f>
        <v>700.03803261347014</v>
      </c>
      <c r="I723" s="9">
        <f t="shared" ref="I723:I754" si="4">H723-_xlfn.FORECAST.ETS.CONFINT(F723,$G$2:$G$722,$F$2:$F$722,0.95,1,1)</f>
        <v>313.47313829120526</v>
      </c>
      <c r="J723" s="9">
        <f t="shared" ref="J723:J754" si="5">H723+_xlfn.FORECAST.ETS.CONFINT(F723,$G$2:$G$722,$F$2:$F$722,0.95,1,1)</f>
        <v>1086.602926935735</v>
      </c>
    </row>
    <row r="724" spans="1:10" x14ac:dyDescent="0.2">
      <c r="A724" s="7">
        <v>45600</v>
      </c>
      <c r="C724">
        <f t="shared" si="0"/>
        <v>0.97436704148568731</v>
      </c>
      <c r="D724" s="9">
        <f t="shared" si="1"/>
        <v>0.22102497493252604</v>
      </c>
      <c r="E724" s="9">
        <f t="shared" si="2"/>
        <v>1.7277091080388485</v>
      </c>
      <c r="F724" s="10">
        <v>45600</v>
      </c>
      <c r="H724">
        <f t="shared" si="3"/>
        <v>700.07606522694061</v>
      </c>
      <c r="I724" s="9">
        <f t="shared" si="4"/>
        <v>310.40618829955696</v>
      </c>
      <c r="J724" s="9">
        <f t="shared" si="5"/>
        <v>1089.7459421543242</v>
      </c>
    </row>
    <row r="725" spans="1:10" x14ac:dyDescent="0.2">
      <c r="A725" s="7">
        <v>45601</v>
      </c>
      <c r="C725">
        <f t="shared" si="0"/>
        <v>0.97867117214405153</v>
      </c>
      <c r="D725" s="9">
        <f t="shared" si="1"/>
        <v>0.21927997202845695</v>
      </c>
      <c r="E725" s="9">
        <f t="shared" si="2"/>
        <v>1.738062372259646</v>
      </c>
      <c r="F725" s="10">
        <v>45601</v>
      </c>
      <c r="H725">
        <f t="shared" si="3"/>
        <v>700.11409784041075</v>
      </c>
      <c r="I725" s="9">
        <f t="shared" si="4"/>
        <v>307.31527692404256</v>
      </c>
      <c r="J725" s="9">
        <f t="shared" si="5"/>
        <v>1092.9129187567789</v>
      </c>
    </row>
    <row r="726" spans="1:10" x14ac:dyDescent="0.2">
      <c r="A726" s="7">
        <v>45602</v>
      </c>
      <c r="C726">
        <f t="shared" si="0"/>
        <v>1.0005584825747924</v>
      </c>
      <c r="D726" s="9">
        <f t="shared" si="1"/>
        <v>0.23507219335043039</v>
      </c>
      <c r="E726" s="9">
        <f t="shared" si="2"/>
        <v>1.7660447717991543</v>
      </c>
      <c r="F726" s="10">
        <v>45602</v>
      </c>
      <c r="H726">
        <f t="shared" si="3"/>
        <v>700.15213045388123</v>
      </c>
      <c r="I726" s="9">
        <f t="shared" si="4"/>
        <v>304.20059481690572</v>
      </c>
      <c r="J726" s="9">
        <f t="shared" si="5"/>
        <v>1096.1036660908567</v>
      </c>
    </row>
    <row r="727" spans="1:10" x14ac:dyDescent="0.2">
      <c r="A727" s="7">
        <v>45603</v>
      </c>
      <c r="C727">
        <f t="shared" si="0"/>
        <v>0.99732028914119353</v>
      </c>
      <c r="D727" s="9">
        <f t="shared" si="1"/>
        <v>0.22569332045557255</v>
      </c>
      <c r="E727" s="9">
        <f t="shared" si="2"/>
        <v>1.7689472578268144</v>
      </c>
      <c r="F727" s="10">
        <v>45603</v>
      </c>
      <c r="H727">
        <f t="shared" si="3"/>
        <v>700.19016306735136</v>
      </c>
      <c r="I727" s="9">
        <f t="shared" si="4"/>
        <v>301.0623308764512</v>
      </c>
      <c r="J727" s="9">
        <f t="shared" si="5"/>
        <v>1099.3179952582516</v>
      </c>
    </row>
    <row r="728" spans="1:10" x14ac:dyDescent="0.2">
      <c r="A728" s="7">
        <v>45604</v>
      </c>
      <c r="C728">
        <f t="shared" si="0"/>
        <v>0.9918997357234306</v>
      </c>
      <c r="D728" s="9">
        <f t="shared" si="1"/>
        <v>0.21408685894498369</v>
      </c>
      <c r="E728" s="9">
        <f t="shared" si="2"/>
        <v>1.7697126125018774</v>
      </c>
      <c r="F728" s="10">
        <v>45604</v>
      </c>
      <c r="H728">
        <f t="shared" si="3"/>
        <v>700.22819568082184</v>
      </c>
      <c r="I728" s="9">
        <f t="shared" si="4"/>
        <v>297.90067220460099</v>
      </c>
      <c r="J728" s="9">
        <f t="shared" si="5"/>
        <v>1102.5557191570426</v>
      </c>
    </row>
    <row r="729" spans="1:10" x14ac:dyDescent="0.2">
      <c r="A729" s="7">
        <v>45605</v>
      </c>
      <c r="C729">
        <f t="shared" si="0"/>
        <v>0.99852382007048679</v>
      </c>
      <c r="D729" s="9">
        <f t="shared" si="1"/>
        <v>0.21448016474214771</v>
      </c>
      <c r="E729" s="9">
        <f t="shared" si="2"/>
        <v>1.7825674753988259</v>
      </c>
      <c r="F729" s="10">
        <v>45605</v>
      </c>
      <c r="H729">
        <f t="shared" si="3"/>
        <v>700.26622829429198</v>
      </c>
      <c r="I729" s="9">
        <f t="shared" si="4"/>
        <v>294.71580406887091</v>
      </c>
      <c r="J729" s="9">
        <f t="shared" si="5"/>
        <v>1105.816652519713</v>
      </c>
    </row>
    <row r="730" spans="1:10" x14ac:dyDescent="0.2">
      <c r="A730" s="7">
        <v>45606</v>
      </c>
      <c r="C730">
        <f t="shared" si="0"/>
        <v>1.0006023618064068</v>
      </c>
      <c r="D730" s="9">
        <f t="shared" si="1"/>
        <v>0.21028341203380341</v>
      </c>
      <c r="E730" s="9">
        <f t="shared" si="2"/>
        <v>1.7909213115790101</v>
      </c>
      <c r="F730" s="10">
        <v>45606</v>
      </c>
      <c r="H730">
        <f t="shared" si="3"/>
        <v>700.30426090776245</v>
      </c>
      <c r="I730" s="9">
        <f t="shared" si="4"/>
        <v>291.5079098685531</v>
      </c>
      <c r="J730" s="9">
        <f t="shared" si="5"/>
        <v>1109.1006119469719</v>
      </c>
    </row>
    <row r="731" spans="1:10" x14ac:dyDescent="0.2">
      <c r="A731" s="7">
        <v>45607</v>
      </c>
      <c r="C731">
        <f t="shared" si="0"/>
        <v>0.97771476407970448</v>
      </c>
      <c r="D731" s="9">
        <f t="shared" si="1"/>
        <v>0.18098206371145409</v>
      </c>
      <c r="E731" s="9">
        <f t="shared" si="2"/>
        <v>1.7744474644479549</v>
      </c>
      <c r="F731" s="10">
        <v>45607</v>
      </c>
      <c r="H731">
        <f t="shared" si="3"/>
        <v>700.34229352123259</v>
      </c>
      <c r="I731" s="9">
        <f t="shared" si="4"/>
        <v>288.27717110487913</v>
      </c>
      <c r="J731" s="9">
        <f t="shared" si="5"/>
        <v>1112.4074159375859</v>
      </c>
    </row>
    <row r="732" spans="1:10" x14ac:dyDescent="0.2">
      <c r="A732" s="7">
        <v>45608</v>
      </c>
      <c r="C732">
        <f t="shared" si="0"/>
        <v>0.97496940329209403</v>
      </c>
      <c r="D732" s="9">
        <f t="shared" si="1"/>
        <v>0.17187417276055994</v>
      </c>
      <c r="E732" s="9">
        <f t="shared" si="2"/>
        <v>1.7780646338236281</v>
      </c>
      <c r="F732" s="10">
        <v>45608</v>
      </c>
      <c r="H732">
        <f t="shared" si="3"/>
        <v>700.38032613470318</v>
      </c>
      <c r="I732" s="9">
        <f t="shared" si="4"/>
        <v>285.02376735496046</v>
      </c>
      <c r="J732" s="9">
        <f t="shared" si="5"/>
        <v>1115.7368849144459</v>
      </c>
    </row>
    <row r="733" spans="1:10" x14ac:dyDescent="0.2">
      <c r="A733" s="7">
        <v>45609</v>
      </c>
      <c r="C733">
        <f t="shared" si="0"/>
        <v>0.97927353395045813</v>
      </c>
      <c r="D733" s="9">
        <f t="shared" si="1"/>
        <v>0.16977229207649402</v>
      </c>
      <c r="E733" s="9">
        <f t="shared" si="2"/>
        <v>1.7887747758244221</v>
      </c>
      <c r="F733" s="10">
        <v>45609</v>
      </c>
      <c r="H733">
        <f t="shared" si="3"/>
        <v>700.4183587481732</v>
      </c>
      <c r="I733" s="9">
        <f t="shared" si="4"/>
        <v>281.74787624929456</v>
      </c>
      <c r="J733" s="9">
        <f t="shared" si="5"/>
        <v>1119.0888412470517</v>
      </c>
    </row>
    <row r="734" spans="1:10" x14ac:dyDescent="0.2">
      <c r="A734" s="7">
        <v>45610</v>
      </c>
      <c r="C734">
        <f t="shared" si="0"/>
        <v>1.001160844381199</v>
      </c>
      <c r="D734" s="9">
        <f t="shared" si="1"/>
        <v>0.18521044959791844</v>
      </c>
      <c r="E734" s="9">
        <f t="shared" si="2"/>
        <v>1.8171112391644795</v>
      </c>
      <c r="F734" s="10">
        <v>45610</v>
      </c>
      <c r="H734">
        <f t="shared" si="3"/>
        <v>700.4563913616438</v>
      </c>
      <c r="I734" s="9">
        <f t="shared" si="4"/>
        <v>278.44967345264951</v>
      </c>
      <c r="J734" s="9">
        <f t="shared" si="5"/>
        <v>1122.4631092706381</v>
      </c>
    </row>
    <row r="735" spans="1:10" x14ac:dyDescent="0.2">
      <c r="A735" s="7">
        <v>45611</v>
      </c>
      <c r="C735">
        <f t="shared" si="0"/>
        <v>0.99792265094760024</v>
      </c>
      <c r="D735" s="9">
        <f t="shared" si="1"/>
        <v>0.17548029747294325</v>
      </c>
      <c r="E735" s="9">
        <f t="shared" si="2"/>
        <v>1.8203650044222572</v>
      </c>
      <c r="F735" s="10">
        <v>45611</v>
      </c>
      <c r="H735">
        <f t="shared" si="3"/>
        <v>700.49442397511382</v>
      </c>
      <c r="I735" s="9">
        <f t="shared" si="4"/>
        <v>275.12933264812472</v>
      </c>
      <c r="J735" s="9">
        <f t="shared" si="5"/>
        <v>1125.8595153021029</v>
      </c>
    </row>
    <row r="736" spans="1:10" x14ac:dyDescent="0.2">
      <c r="A736" s="7">
        <v>45612</v>
      </c>
      <c r="C736">
        <f t="shared" si="0"/>
        <v>0.99250209752983731</v>
      </c>
      <c r="D736" s="9">
        <f t="shared" si="1"/>
        <v>0.16352531151394156</v>
      </c>
      <c r="E736" s="9">
        <f t="shared" si="2"/>
        <v>1.821478883545733</v>
      </c>
      <c r="F736" s="10">
        <v>45612</v>
      </c>
      <c r="H736">
        <f t="shared" si="3"/>
        <v>700.53245658858441</v>
      </c>
      <c r="I736" s="9">
        <f t="shared" si="4"/>
        <v>271.78702552421987</v>
      </c>
      <c r="J736" s="9">
        <f t="shared" si="5"/>
        <v>1129.2778876529489</v>
      </c>
    </row>
    <row r="737" spans="1:10" x14ac:dyDescent="0.2">
      <c r="A737" s="7">
        <v>45613</v>
      </c>
      <c r="C737">
        <f t="shared" si="0"/>
        <v>0.9991261818768935</v>
      </c>
      <c r="D737" s="9">
        <f t="shared" si="1"/>
        <v>0.16357281752973463</v>
      </c>
      <c r="E737" s="9">
        <f t="shared" si="2"/>
        <v>1.8346795462240524</v>
      </c>
      <c r="F737" s="10">
        <v>45613</v>
      </c>
      <c r="H737">
        <f t="shared" si="3"/>
        <v>700.57048920205443</v>
      </c>
      <c r="I737" s="9">
        <f t="shared" si="4"/>
        <v>268.42292176471886</v>
      </c>
      <c r="J737" s="9">
        <f t="shared" si="5"/>
        <v>1132.7180566393899</v>
      </c>
    </row>
    <row r="738" spans="1:10" x14ac:dyDescent="0.2">
      <c r="A738" s="7">
        <v>45614</v>
      </c>
      <c r="C738">
        <f t="shared" si="0"/>
        <v>1.0012047236128134</v>
      </c>
      <c r="D738" s="9">
        <f t="shared" si="1"/>
        <v>0.15903295931725159</v>
      </c>
      <c r="E738" s="9">
        <f t="shared" si="2"/>
        <v>1.8433764879083752</v>
      </c>
      <c r="F738" s="10">
        <v>45614</v>
      </c>
      <c r="H738">
        <f t="shared" si="3"/>
        <v>700.60852181552502</v>
      </c>
      <c r="I738" s="9">
        <f t="shared" si="4"/>
        <v>265.03718904123764</v>
      </c>
      <c r="J738" s="9">
        <f t="shared" si="5"/>
        <v>1136.1798545898123</v>
      </c>
    </row>
    <row r="739" spans="1:10" x14ac:dyDescent="0.2">
      <c r="A739" s="7">
        <v>45615</v>
      </c>
      <c r="C739">
        <f t="shared" si="0"/>
        <v>0.97831712588611108</v>
      </c>
      <c r="D739" s="9">
        <f t="shared" si="1"/>
        <v>0.12939170304274017</v>
      </c>
      <c r="E739" s="9">
        <f t="shared" si="2"/>
        <v>1.8272425487294819</v>
      </c>
      <c r="F739" s="10">
        <v>45615</v>
      </c>
      <c r="H739">
        <f t="shared" si="3"/>
        <v>700.64655442899505</v>
      </c>
      <c r="I739" s="9">
        <f t="shared" si="4"/>
        <v>261.6299930082551</v>
      </c>
      <c r="J739" s="9">
        <f t="shared" si="5"/>
        <v>1139.663115849735</v>
      </c>
    </row>
    <row r="740" spans="1:10" x14ac:dyDescent="0.2">
      <c r="A740" s="7">
        <v>45616</v>
      </c>
      <c r="C740">
        <f t="shared" si="0"/>
        <v>0.97557176509850063</v>
      </c>
      <c r="D740" s="9">
        <f t="shared" si="1"/>
        <v>0.11994599028635022</v>
      </c>
      <c r="E740" s="9">
        <f t="shared" si="2"/>
        <v>1.831197539910651</v>
      </c>
      <c r="F740" s="10">
        <v>45616</v>
      </c>
      <c r="H740">
        <f t="shared" si="3"/>
        <v>700.68458704246564</v>
      </c>
      <c r="I740" s="9">
        <f t="shared" si="4"/>
        <v>258.20149730048968</v>
      </c>
      <c r="J740" s="9">
        <f t="shared" si="5"/>
        <v>1143.1676767844415</v>
      </c>
    </row>
    <row r="741" spans="1:10" x14ac:dyDescent="0.2">
      <c r="A741" s="7">
        <v>45617</v>
      </c>
      <c r="C741">
        <f t="shared" si="0"/>
        <v>0.97987589575686485</v>
      </c>
      <c r="D741" s="9">
        <f t="shared" si="1"/>
        <v>0.11750888944342053</v>
      </c>
      <c r="E741" s="9">
        <f t="shared" si="2"/>
        <v>1.8422429020703093</v>
      </c>
      <c r="F741" s="10">
        <v>45617</v>
      </c>
      <c r="H741">
        <f t="shared" si="3"/>
        <v>700.72261965593577</v>
      </c>
      <c r="I741" s="9">
        <f t="shared" si="4"/>
        <v>254.75186353245437</v>
      </c>
      <c r="J741" s="9">
        <f t="shared" si="5"/>
        <v>1146.6933757794172</v>
      </c>
    </row>
    <row r="742" spans="1:10" x14ac:dyDescent="0.2">
      <c r="A742" s="7">
        <v>45618</v>
      </c>
      <c r="C742">
        <f t="shared" si="0"/>
        <v>1.0017632061876058</v>
      </c>
      <c r="D742" s="9">
        <f t="shared" si="1"/>
        <v>0.13261439744017134</v>
      </c>
      <c r="E742" s="9">
        <f t="shared" si="2"/>
        <v>1.8709120149350404</v>
      </c>
      <c r="F742" s="10">
        <v>45618</v>
      </c>
      <c r="H742">
        <f t="shared" si="3"/>
        <v>700.76065226940625</v>
      </c>
      <c r="I742" s="9">
        <f t="shared" si="4"/>
        <v>251.28125130006504</v>
      </c>
      <c r="J742" s="9">
        <f t="shared" si="5"/>
        <v>1150.2400532387474</v>
      </c>
    </row>
    <row r="743" spans="1:10" x14ac:dyDescent="0.2">
      <c r="A743" s="7">
        <v>45619</v>
      </c>
      <c r="C743">
        <f t="shared" si="0"/>
        <v>0.99852501275400696</v>
      </c>
      <c r="D743" s="9">
        <f t="shared" si="1"/>
        <v>0.12255413534880444</v>
      </c>
      <c r="E743" s="9">
        <f t="shared" si="2"/>
        <v>1.8744958901592095</v>
      </c>
      <c r="F743" s="10">
        <v>45619</v>
      </c>
      <c r="H743">
        <f t="shared" si="3"/>
        <v>700.79868488287639</v>
      </c>
      <c r="I743" s="9">
        <f t="shared" si="4"/>
        <v>247.7898181841494</v>
      </c>
      <c r="J743" s="9">
        <f t="shared" si="5"/>
        <v>1153.8075515816033</v>
      </c>
    </row>
    <row r="744" spans="1:10" x14ac:dyDescent="0.2">
      <c r="A744" s="7">
        <v>45620</v>
      </c>
      <c r="C744">
        <f t="shared" si="0"/>
        <v>0.99310445933624403</v>
      </c>
      <c r="D744" s="9">
        <f t="shared" si="1"/>
        <v>0.11027154787745042</v>
      </c>
      <c r="E744" s="9">
        <f t="shared" si="2"/>
        <v>1.8759373707950378</v>
      </c>
      <c r="F744" s="10">
        <v>45620</v>
      </c>
      <c r="H744">
        <f t="shared" si="3"/>
        <v>700.83671749634686</v>
      </c>
      <c r="I744" s="9">
        <f t="shared" si="4"/>
        <v>244.27771975574143</v>
      </c>
      <c r="J744" s="9">
        <f t="shared" si="5"/>
        <v>1157.3957152369524</v>
      </c>
    </row>
    <row r="745" spans="1:10" x14ac:dyDescent="0.2">
      <c r="A745" s="7">
        <v>45621</v>
      </c>
      <c r="C745">
        <f t="shared" si="0"/>
        <v>0.99972854368330022</v>
      </c>
      <c r="D745" s="9">
        <f t="shared" si="1"/>
        <v>0.10999392973522848</v>
      </c>
      <c r="E745" s="9">
        <f t="shared" si="2"/>
        <v>1.8894631576313721</v>
      </c>
      <c r="F745" s="10">
        <v>45621</v>
      </c>
      <c r="H745">
        <f t="shared" si="3"/>
        <v>700.874750109817</v>
      </c>
      <c r="I745" s="9">
        <f t="shared" si="4"/>
        <v>240.74510958302318</v>
      </c>
      <c r="J745" s="9">
        <f t="shared" si="5"/>
        <v>1161.0043906366109</v>
      </c>
    </row>
    <row r="746" spans="1:10" x14ac:dyDescent="0.2">
      <c r="A746" s="7">
        <v>45622</v>
      </c>
      <c r="C746">
        <f t="shared" si="0"/>
        <v>1.00180708541922</v>
      </c>
      <c r="D746" s="9">
        <f t="shared" si="1"/>
        <v>0.10513139365462587</v>
      </c>
      <c r="E746" s="9">
        <f t="shared" si="2"/>
        <v>1.8984827771838142</v>
      </c>
      <c r="F746" s="10">
        <v>45622</v>
      </c>
      <c r="H746">
        <f t="shared" si="3"/>
        <v>700.91278272328748</v>
      </c>
      <c r="I746" s="9">
        <f t="shared" si="4"/>
        <v>237.19213923980942</v>
      </c>
      <c r="J746" s="9">
        <f t="shared" si="5"/>
        <v>1164.6334262067655</v>
      </c>
    </row>
    <row r="747" spans="1:10" x14ac:dyDescent="0.2">
      <c r="A747" s="7">
        <v>45623</v>
      </c>
      <c r="C747">
        <f t="shared" si="0"/>
        <v>0.9789194876925178</v>
      </c>
      <c r="D747" s="9">
        <f t="shared" si="1"/>
        <v>7.5170618412537138E-2</v>
      </c>
      <c r="E747" s="9">
        <f t="shared" si="2"/>
        <v>1.8826683569724985</v>
      </c>
      <c r="F747" s="10">
        <v>45623</v>
      </c>
      <c r="H747">
        <f t="shared" si="3"/>
        <v>700.95081533675761</v>
      </c>
      <c r="I747" s="9">
        <f t="shared" si="4"/>
        <v>233.61895831544928</v>
      </c>
      <c r="J747" s="9">
        <f t="shared" si="5"/>
        <v>1168.2826723580661</v>
      </c>
    </row>
    <row r="748" spans="1:10" x14ac:dyDescent="0.2">
      <c r="A748" s="7">
        <v>45624</v>
      </c>
      <c r="C748">
        <f t="shared" si="0"/>
        <v>0.97617412690490735</v>
      </c>
      <c r="D748" s="9">
        <f t="shared" si="1"/>
        <v>6.5407009992919818E-2</v>
      </c>
      <c r="E748" s="9">
        <f t="shared" si="2"/>
        <v>1.8869412438168949</v>
      </c>
      <c r="F748" s="10">
        <v>45624</v>
      </c>
      <c r="H748">
        <f t="shared" si="3"/>
        <v>700.98884795022821</v>
      </c>
      <c r="I748" s="9">
        <f t="shared" si="4"/>
        <v>230.02571442605046</v>
      </c>
      <c r="J748" s="9">
        <f t="shared" si="5"/>
        <v>1171.951981474406</v>
      </c>
    </row>
    <row r="749" spans="1:10" x14ac:dyDescent="0.2">
      <c r="A749" s="7">
        <v>45625</v>
      </c>
      <c r="C749">
        <f t="shared" si="0"/>
        <v>0.98047825756327156</v>
      </c>
      <c r="D749" s="9">
        <f t="shared" si="1"/>
        <v>6.2654366988957544E-2</v>
      </c>
      <c r="E749" s="9">
        <f t="shared" si="2"/>
        <v>1.8983021481375855</v>
      </c>
      <c r="F749" s="10">
        <v>45625</v>
      </c>
      <c r="H749">
        <f t="shared" si="3"/>
        <v>701.02688056369823</v>
      </c>
      <c r="I749" s="9">
        <f t="shared" si="4"/>
        <v>226.41255322691239</v>
      </c>
      <c r="J749" s="9">
        <f t="shared" si="5"/>
        <v>1175.641207900484</v>
      </c>
    </row>
    <row r="750" spans="1:10" x14ac:dyDescent="0.2">
      <c r="A750" s="7">
        <v>45626</v>
      </c>
      <c r="C750">
        <f t="shared" si="0"/>
        <v>1.0023655679940124</v>
      </c>
      <c r="D750" s="9">
        <f t="shared" si="1"/>
        <v>7.7446655689174859E-2</v>
      </c>
      <c r="E750" s="9">
        <f t="shared" si="2"/>
        <v>1.92728448029885</v>
      </c>
      <c r="F750" s="10">
        <v>45626</v>
      </c>
      <c r="H750">
        <f t="shared" si="3"/>
        <v>701.06491317716882</v>
      </c>
      <c r="I750" s="9">
        <f t="shared" si="4"/>
        <v>222.77961842608499</v>
      </c>
      <c r="J750" s="9">
        <f t="shared" si="5"/>
        <v>1179.3502079282525</v>
      </c>
    </row>
    <row r="751" spans="1:10" x14ac:dyDescent="0.2">
      <c r="A751" s="7">
        <v>45627</v>
      </c>
      <c r="C751">
        <f t="shared" si="0"/>
        <v>0.99912737456041367</v>
      </c>
      <c r="D751" s="9">
        <f t="shared" si="1"/>
        <v>6.7075466686885354E-2</v>
      </c>
      <c r="E751" s="9">
        <f t="shared" si="2"/>
        <v>1.931179282433942</v>
      </c>
      <c r="F751" s="10">
        <v>45627</v>
      </c>
      <c r="H751">
        <f t="shared" si="3"/>
        <v>701.10294579063884</v>
      </c>
      <c r="I751" s="9">
        <f t="shared" si="4"/>
        <v>219.12705179894556</v>
      </c>
      <c r="J751" s="9">
        <f t="shared" si="5"/>
        <v>1183.0788397823321</v>
      </c>
    </row>
    <row r="752" spans="1:10" x14ac:dyDescent="0.2">
      <c r="A752" s="7">
        <v>45628</v>
      </c>
      <c r="C752">
        <f t="shared" si="0"/>
        <v>0.99370682114265074</v>
      </c>
      <c r="D752" s="9">
        <f t="shared" si="1"/>
        <v>5.4484214389883934E-2</v>
      </c>
      <c r="E752" s="9">
        <f t="shared" si="2"/>
        <v>1.9329294278954174</v>
      </c>
      <c r="F752" s="10">
        <v>45628</v>
      </c>
      <c r="H752">
        <f t="shared" si="3"/>
        <v>701.14097840410943</v>
      </c>
      <c r="I752" s="9">
        <f t="shared" si="4"/>
        <v>215.45499320372585</v>
      </c>
      <c r="J752" s="9">
        <f t="shared" si="5"/>
        <v>1186.8269636044929</v>
      </c>
    </row>
    <row r="753" spans="1:10" x14ac:dyDescent="0.2">
      <c r="A753" s="7">
        <v>45629</v>
      </c>
      <c r="C753">
        <f t="shared" si="0"/>
        <v>1.0003309054897069</v>
      </c>
      <c r="D753" s="9">
        <f t="shared" si="1"/>
        <v>5.3900163403721502E-2</v>
      </c>
      <c r="E753" s="9">
        <f t="shared" si="2"/>
        <v>1.9467616475756924</v>
      </c>
      <c r="F753" s="10">
        <v>45629</v>
      </c>
      <c r="H753">
        <f t="shared" si="3"/>
        <v>701.17901101757946</v>
      </c>
      <c r="I753" s="9">
        <f t="shared" si="4"/>
        <v>211.76358059788788</v>
      </c>
      <c r="J753" s="9">
        <f t="shared" si="5"/>
        <v>1190.5944414372711</v>
      </c>
    </row>
    <row r="754" spans="1:10" x14ac:dyDescent="0.2">
      <c r="A754" s="7">
        <v>45630</v>
      </c>
      <c r="C754">
        <f t="shared" si="0"/>
        <v>1.0024094472256269</v>
      </c>
      <c r="D754" s="9">
        <f t="shared" si="1"/>
        <v>4.8733396570838639E-2</v>
      </c>
      <c r="E754" s="9">
        <f t="shared" si="2"/>
        <v>1.956085497880415</v>
      </c>
      <c r="F754" s="10">
        <v>45630</v>
      </c>
      <c r="H754">
        <f t="shared" si="3"/>
        <v>701.21704363105005</v>
      </c>
      <c r="I754" s="9">
        <f t="shared" si="4"/>
        <v>208.05295005528984</v>
      </c>
      <c r="J754" s="9">
        <f t="shared" si="5"/>
        <v>1194.3811372068103</v>
      </c>
    </row>
    <row r="755" spans="1:10" x14ac:dyDescent="0.2">
      <c r="A755" s="7">
        <v>45631</v>
      </c>
      <c r="C755">
        <f t="shared" ref="C755:C786" si="6">_xlfn.FORECAST.ETS(A755,$B$2:$B$722,$A$2:$A$722,1,1)</f>
        <v>0.97952184949892451</v>
      </c>
      <c r="D755" s="9">
        <f t="shared" ref="D755:D786" si="7">C755-_xlfn.FORECAST.ETS.CONFINT(A755,$B$2:$B$722,$A$2:$A$722,0.95,1,1)</f>
        <v>1.8471459711985383E-2</v>
      </c>
      <c r="E755" s="9">
        <f t="shared" ref="E755:E786" si="8">C755+_xlfn.FORECAST.ETS.CONFINT(A755,$B$2:$B$722,$A$2:$A$722,0.95,1,1)</f>
        <v>1.9405722392858635</v>
      </c>
      <c r="F755" s="10">
        <v>45631</v>
      </c>
      <c r="H755">
        <f t="shared" ref="H755:H786" si="9">_xlfn.FORECAST.ETS(F755,$G$2:$G$722,$F$2:$F$722,1,1)</f>
        <v>701.25507624452007</v>
      </c>
      <c r="I755" s="9">
        <f t="shared" ref="I755:I786" si="10">H755-_xlfn.FORECAST.ETS.CONFINT(F755,$G$2:$G$722,$F$2:$F$722,0.95,1,1)</f>
        <v>204.32323578405004</v>
      </c>
      <c r="J755" s="9">
        <f t="shared" ref="J755:J786" si="11">H755+_xlfn.FORECAST.ETS.CONFINT(F755,$G$2:$G$722,$F$2:$F$722,0.95,1,1)</f>
        <v>1198.1869167049902</v>
      </c>
    </row>
    <row r="756" spans="1:10" x14ac:dyDescent="0.2">
      <c r="A756" s="7">
        <v>45632</v>
      </c>
      <c r="C756">
        <f t="shared" si="6"/>
        <v>0.97677648871131406</v>
      </c>
      <c r="D756" s="9">
        <f t="shared" si="7"/>
        <v>8.4079153743116253E-3</v>
      </c>
      <c r="E756" s="9">
        <f t="shared" si="8"/>
        <v>1.9451450620483164</v>
      </c>
      <c r="F756" s="10">
        <v>45632</v>
      </c>
      <c r="H756">
        <f t="shared" si="9"/>
        <v>701.29310885799066</v>
      </c>
      <c r="I756" s="9">
        <f t="shared" si="10"/>
        <v>200.57457014505923</v>
      </c>
      <c r="J756" s="9">
        <f t="shared" si="11"/>
        <v>1202.0116475709222</v>
      </c>
    </row>
    <row r="757" spans="1:10" x14ac:dyDescent="0.2">
      <c r="A757" s="7">
        <v>45633</v>
      </c>
      <c r="C757">
        <f t="shared" si="6"/>
        <v>0.98108061936967828</v>
      </c>
      <c r="D757" s="9">
        <f t="shared" si="7"/>
        <v>5.3574503628305292E-3</v>
      </c>
      <c r="E757" s="9">
        <f t="shared" si="8"/>
        <v>1.9568037883765261</v>
      </c>
      <c r="F757" s="10">
        <v>45633</v>
      </c>
      <c r="H757">
        <f t="shared" si="9"/>
        <v>701.3311414714608</v>
      </c>
      <c r="I757" s="9">
        <f t="shared" si="10"/>
        <v>196.80708367105569</v>
      </c>
      <c r="J757" s="9">
        <f t="shared" si="11"/>
        <v>1205.8551992718658</v>
      </c>
    </row>
    <row r="758" spans="1:10" x14ac:dyDescent="0.2">
      <c r="A758" s="7">
        <v>45634</v>
      </c>
      <c r="C758">
        <f t="shared" si="6"/>
        <v>1.0029679298004193</v>
      </c>
      <c r="D758" s="9">
        <f t="shared" si="7"/>
        <v>1.9854002083173561E-2</v>
      </c>
      <c r="E758" s="9">
        <f t="shared" si="8"/>
        <v>1.9860818575176649</v>
      </c>
      <c r="F758" s="10">
        <v>45634</v>
      </c>
      <c r="H758">
        <f t="shared" si="9"/>
        <v>701.36917408493127</v>
      </c>
      <c r="I758" s="9">
        <f t="shared" si="10"/>
        <v>193.02090508622194</v>
      </c>
      <c r="J758" s="9">
        <f t="shared" si="11"/>
        <v>1209.7174430836405</v>
      </c>
    </row>
    <row r="759" spans="1:10" x14ac:dyDescent="0.2">
      <c r="A759" s="7">
        <v>45635</v>
      </c>
      <c r="C759">
        <f t="shared" si="6"/>
        <v>0.99972973636682028</v>
      </c>
      <c r="D759" s="9">
        <f t="shared" si="7"/>
        <v>9.1891325230075704E-3</v>
      </c>
      <c r="E759" s="9">
        <f t="shared" si="8"/>
        <v>1.990270340210633</v>
      </c>
      <c r="F759" s="10">
        <v>45635</v>
      </c>
      <c r="H759">
        <f t="shared" si="9"/>
        <v>701.40720669840141</v>
      </c>
      <c r="I759" s="9">
        <f t="shared" si="10"/>
        <v>189.21616132622626</v>
      </c>
      <c r="J759" s="9">
        <f t="shared" si="11"/>
        <v>1213.5982520705766</v>
      </c>
    </row>
    <row r="760" spans="1:10" x14ac:dyDescent="0.2">
      <c r="A760" s="7">
        <v>45636</v>
      </c>
      <c r="C760">
        <f t="shared" si="6"/>
        <v>0.99430918294905735</v>
      </c>
      <c r="D760" s="9">
        <f t="shared" si="7"/>
        <v>-3.6937722287329056E-3</v>
      </c>
      <c r="E760" s="9">
        <f t="shared" si="8"/>
        <v>1.9923121381268476</v>
      </c>
      <c r="F760" s="10">
        <v>45636</v>
      </c>
      <c r="H760">
        <f t="shared" si="9"/>
        <v>701.44523931187189</v>
      </c>
      <c r="I760" s="9">
        <f t="shared" si="10"/>
        <v>185.3929775586713</v>
      </c>
      <c r="J760" s="9">
        <f t="shared" si="11"/>
        <v>1217.4975010650724</v>
      </c>
    </row>
    <row r="761" spans="1:10" x14ac:dyDescent="0.2">
      <c r="A761" s="7">
        <v>45637</v>
      </c>
      <c r="C761">
        <f t="shared" si="6"/>
        <v>1.0009332672961135</v>
      </c>
      <c r="D761" s="9">
        <f t="shared" si="7"/>
        <v>-4.5674755900222408E-3</v>
      </c>
      <c r="E761" s="9">
        <f t="shared" si="8"/>
        <v>2.0064340101822493</v>
      </c>
      <c r="F761" s="10">
        <v>45637</v>
      </c>
      <c r="H761">
        <f t="shared" si="9"/>
        <v>701.48327192534202</v>
      </c>
      <c r="I761" s="9">
        <f t="shared" si="10"/>
        <v>181.55147720388447</v>
      </c>
      <c r="J761" s="9">
        <f t="shared" si="11"/>
        <v>1221.4150666467995</v>
      </c>
    </row>
    <row r="762" spans="1:10" x14ac:dyDescent="0.2">
      <c r="A762" s="7">
        <v>45638</v>
      </c>
      <c r="C762">
        <f t="shared" si="6"/>
        <v>1.0030118090320335</v>
      </c>
      <c r="D762" s="9">
        <f t="shared" si="7"/>
        <v>-1.002192243898814E-2</v>
      </c>
      <c r="E762" s="9">
        <f t="shared" si="8"/>
        <v>2.0160455405030548</v>
      </c>
      <c r="F762" s="10">
        <v>45638</v>
      </c>
      <c r="H762">
        <f t="shared" si="9"/>
        <v>701.5213045388125</v>
      </c>
      <c r="I762" s="9">
        <f t="shared" si="10"/>
        <v>177.69178195601376</v>
      </c>
      <c r="J762" s="9">
        <f t="shared" si="11"/>
        <v>1225.3508271216112</v>
      </c>
    </row>
    <row r="763" spans="1:10" x14ac:dyDescent="0.2">
      <c r="A763" s="7">
        <v>45639</v>
      </c>
      <c r="C763">
        <f t="shared" si="6"/>
        <v>0.98012421130533123</v>
      </c>
      <c r="D763" s="9">
        <f t="shared" si="7"/>
        <v>-4.0568589126096288E-2</v>
      </c>
      <c r="E763" s="9">
        <f t="shared" si="8"/>
        <v>2.0008170117367587</v>
      </c>
      <c r="F763" s="10">
        <v>45639</v>
      </c>
      <c r="H763">
        <f t="shared" si="9"/>
        <v>701.55933715228264</v>
      </c>
      <c r="I763" s="9">
        <f t="shared" si="10"/>
        <v>173.81401180437433</v>
      </c>
      <c r="J763" s="9">
        <f t="shared" si="11"/>
        <v>1229.3046625001909</v>
      </c>
    </row>
    <row r="764" spans="1:10" x14ac:dyDescent="0.2">
      <c r="A764" s="7">
        <v>45640</v>
      </c>
      <c r="C764">
        <f t="shared" si="6"/>
        <v>0.97737885051772078</v>
      </c>
      <c r="D764" s="9">
        <f t="shared" si="7"/>
        <v>-5.0915973259486158E-2</v>
      </c>
      <c r="E764" s="9">
        <f t="shared" si="8"/>
        <v>2.0056736742949277</v>
      </c>
      <c r="F764" s="10">
        <v>45640</v>
      </c>
      <c r="H764">
        <f t="shared" si="9"/>
        <v>701.59736976575311</v>
      </c>
      <c r="I764" s="9">
        <f t="shared" si="10"/>
        <v>169.91828505501212</v>
      </c>
      <c r="J764" s="9">
        <f t="shared" si="11"/>
        <v>1233.2764544764941</v>
      </c>
    </row>
    <row r="765" spans="1:10" x14ac:dyDescent="0.2">
      <c r="A765" s="7">
        <v>45641</v>
      </c>
      <c r="C765">
        <f t="shared" si="6"/>
        <v>0.98168298117608499</v>
      </c>
      <c r="D765" s="9">
        <f t="shared" si="7"/>
        <v>-5.4248386825578754E-2</v>
      </c>
      <c r="E765" s="9">
        <f t="shared" si="8"/>
        <v>2.017614349177749</v>
      </c>
      <c r="F765" s="10">
        <v>45641</v>
      </c>
      <c r="H765">
        <f t="shared" si="9"/>
        <v>701.63540237922325</v>
      </c>
      <c r="I765" s="9">
        <f t="shared" si="10"/>
        <v>166.00471835243673</v>
      </c>
      <c r="J765" s="9">
        <f t="shared" si="11"/>
        <v>1237.2660864060099</v>
      </c>
    </row>
    <row r="766" spans="1:10" x14ac:dyDescent="0.2">
      <c r="A766" s="7">
        <v>45642</v>
      </c>
      <c r="C766">
        <f t="shared" si="6"/>
        <v>1.0035702916068259</v>
      </c>
      <c r="D766" s="9">
        <f t="shared" si="7"/>
        <v>-4.0031918860785387E-2</v>
      </c>
      <c r="E766" s="9">
        <f t="shared" si="8"/>
        <v>2.0471725020744369</v>
      </c>
      <c r="F766" s="10">
        <v>45642</v>
      </c>
      <c r="H766">
        <f t="shared" si="9"/>
        <v>701.67343499269384</v>
      </c>
      <c r="I766" s="9">
        <f t="shared" si="10"/>
        <v>162.07342670149671</v>
      </c>
      <c r="J766" s="9">
        <f t="shared" si="11"/>
        <v>1241.2734432838911</v>
      </c>
    </row>
    <row r="767" spans="1:10" x14ac:dyDescent="0.2">
      <c r="A767" s="7">
        <v>45643</v>
      </c>
      <c r="C767">
        <f t="shared" si="6"/>
        <v>1.0003320981732271</v>
      </c>
      <c r="D767" s="9">
        <f t="shared" si="7"/>
        <v>-5.0975033491057031E-2</v>
      </c>
      <c r="E767" s="9">
        <f t="shared" si="8"/>
        <v>2.0516392298375115</v>
      </c>
      <c r="F767" s="10">
        <v>45643</v>
      </c>
      <c r="H767">
        <f t="shared" si="9"/>
        <v>701.71146760616386</v>
      </c>
      <c r="I767" s="9">
        <f t="shared" si="10"/>
        <v>158.12452348934937</v>
      </c>
      <c r="J767" s="9">
        <f t="shared" si="11"/>
        <v>1245.2984117229785</v>
      </c>
    </row>
    <row r="768" spans="1:10" x14ac:dyDescent="0.2">
      <c r="A768" s="7">
        <v>45644</v>
      </c>
      <c r="C768">
        <f t="shared" si="6"/>
        <v>0.99491154475546406</v>
      </c>
      <c r="D768" s="9">
        <f t="shared" si="7"/>
        <v>-6.4134370409515973E-2</v>
      </c>
      <c r="E768" s="9">
        <f t="shared" si="8"/>
        <v>2.053957459920444</v>
      </c>
      <c r="F768" s="10">
        <v>45644</v>
      </c>
      <c r="H768">
        <f t="shared" si="9"/>
        <v>701.74950021963446</v>
      </c>
      <c r="I768" s="9">
        <f t="shared" si="10"/>
        <v>154.15812050750935</v>
      </c>
      <c r="J768" s="9">
        <f t="shared" si="11"/>
        <v>1249.3408799317594</v>
      </c>
    </row>
    <row r="769" spans="1:10" x14ac:dyDescent="0.2">
      <c r="A769" s="7">
        <v>45645</v>
      </c>
      <c r="C769">
        <f t="shared" si="6"/>
        <v>1.0015356291025204</v>
      </c>
      <c r="D769" s="9">
        <f t="shared" si="7"/>
        <v>-6.5282718482086777E-2</v>
      </c>
      <c r="E769" s="9">
        <f t="shared" si="8"/>
        <v>2.0683539766871277</v>
      </c>
      <c r="F769" s="10">
        <v>45645</v>
      </c>
      <c r="H769">
        <f t="shared" si="9"/>
        <v>701.78753283310448</v>
      </c>
      <c r="I769" s="9">
        <f t="shared" si="10"/>
        <v>150.17432797392871</v>
      </c>
      <c r="J769" s="9">
        <f t="shared" si="11"/>
        <v>1253.4007376922802</v>
      </c>
    </row>
    <row r="770" spans="1:10" x14ac:dyDescent="0.2">
      <c r="A770" s="7">
        <v>45646</v>
      </c>
      <c r="C770">
        <f t="shared" si="6"/>
        <v>1.0036141708384403</v>
      </c>
      <c r="D770" s="9">
        <f t="shared" si="7"/>
        <v>-7.1010047698755629E-2</v>
      </c>
      <c r="E770" s="9">
        <f t="shared" si="8"/>
        <v>2.0782383893756364</v>
      </c>
      <c r="F770" s="10">
        <v>45646</v>
      </c>
      <c r="H770">
        <f t="shared" si="9"/>
        <v>701.82556544657507</v>
      </c>
      <c r="I770" s="9">
        <f t="shared" si="10"/>
        <v>146.1732545550982</v>
      </c>
      <c r="J770" s="9">
        <f t="shared" si="11"/>
        <v>1257.4778763380518</v>
      </c>
    </row>
    <row r="771" spans="1:10" x14ac:dyDescent="0.2">
      <c r="A771" s="7">
        <v>45647</v>
      </c>
      <c r="C771">
        <f t="shared" si="6"/>
        <v>0.98072657311173794</v>
      </c>
      <c r="D771" s="9">
        <f t="shared" si="7"/>
        <v>-0.10182678007784529</v>
      </c>
      <c r="E771" s="9">
        <f t="shared" si="8"/>
        <v>2.0632799263013211</v>
      </c>
      <c r="F771" s="10">
        <v>45647</v>
      </c>
      <c r="H771">
        <f t="shared" si="9"/>
        <v>701.86359806004509</v>
      </c>
      <c r="I771" s="9">
        <f t="shared" si="10"/>
        <v>142.15500738812557</v>
      </c>
      <c r="J771" s="9">
        <f t="shared" si="11"/>
        <v>1261.5721887319646</v>
      </c>
    </row>
    <row r="772" spans="1:10" x14ac:dyDescent="0.2">
      <c r="A772" s="7">
        <v>45648</v>
      </c>
      <c r="C772">
        <f t="shared" si="6"/>
        <v>0.97798121232412749</v>
      </c>
      <c r="D772" s="9">
        <f t="shared" si="7"/>
        <v>-0.11244361953607063</v>
      </c>
      <c r="E772" s="9">
        <f t="shared" si="8"/>
        <v>2.0684060441843255</v>
      </c>
      <c r="F772" s="10">
        <v>45648</v>
      </c>
      <c r="H772">
        <f t="shared" si="9"/>
        <v>701.90163067351568</v>
      </c>
      <c r="I772" s="9">
        <f t="shared" si="10"/>
        <v>138.11969210278676</v>
      </c>
      <c r="J772" s="9">
        <f t="shared" si="11"/>
        <v>1265.6835692442446</v>
      </c>
    </row>
    <row r="773" spans="1:10" x14ac:dyDescent="0.2">
      <c r="A773" s="7">
        <v>45649</v>
      </c>
      <c r="C773">
        <f t="shared" si="6"/>
        <v>0.98228534298249159</v>
      </c>
      <c r="D773" s="9">
        <f t="shared" si="7"/>
        <v>-0.11604379915863849</v>
      </c>
      <c r="E773" s="9">
        <f t="shared" si="8"/>
        <v>2.0806144851236219</v>
      </c>
      <c r="F773" s="10">
        <v>45649</v>
      </c>
      <c r="H773">
        <f t="shared" si="9"/>
        <v>701.93966328698571</v>
      </c>
      <c r="I773" s="9">
        <f t="shared" si="10"/>
        <v>134.06741284350562</v>
      </c>
      <c r="J773" s="9">
        <f t="shared" si="11"/>
        <v>1269.8119137304657</v>
      </c>
    </row>
    <row r="774" spans="1:10" x14ac:dyDescent="0.2">
      <c r="A774" s="7">
        <v>45650</v>
      </c>
      <c r="C774">
        <f t="shared" si="6"/>
        <v>1.0041726534132325</v>
      </c>
      <c r="D774" s="9">
        <f t="shared" si="7"/>
        <v>-0.10209343173596297</v>
      </c>
      <c r="E774" s="9">
        <f t="shared" si="8"/>
        <v>2.1104387385624279</v>
      </c>
      <c r="F774" s="10">
        <v>45650</v>
      </c>
      <c r="H774">
        <f t="shared" si="9"/>
        <v>701.9776959004563</v>
      </c>
      <c r="I774" s="9">
        <f t="shared" si="10"/>
        <v>129.99827229126618</v>
      </c>
      <c r="J774" s="9">
        <f t="shared" si="11"/>
        <v>1273.9571195096464</v>
      </c>
    </row>
    <row r="775" spans="1:10" x14ac:dyDescent="0.2">
      <c r="A775" s="7">
        <v>45651</v>
      </c>
      <c r="C775">
        <f t="shared" si="6"/>
        <v>1.0009344599796337</v>
      </c>
      <c r="D775" s="9">
        <f t="shared" si="7"/>
        <v>-0.11330100480949379</v>
      </c>
      <c r="E775" s="9">
        <f t="shared" si="8"/>
        <v>2.115169924768761</v>
      </c>
      <c r="F775" s="10">
        <v>45651</v>
      </c>
      <c r="H775">
        <f t="shared" si="9"/>
        <v>702.01572851392643</v>
      </c>
      <c r="I775" s="9">
        <f t="shared" si="10"/>
        <v>125.91237168541375</v>
      </c>
      <c r="J775" s="9">
        <f t="shared" si="11"/>
        <v>1278.1190853424391</v>
      </c>
    </row>
    <row r="776" spans="1:10" x14ac:dyDescent="0.2">
      <c r="A776" s="7">
        <v>45652</v>
      </c>
      <c r="C776">
        <f t="shared" si="6"/>
        <v>0.99551390656187078</v>
      </c>
      <c r="D776" s="9">
        <f t="shared" si="7"/>
        <v>-0.12672318114996695</v>
      </c>
      <c r="E776" s="9">
        <f t="shared" si="8"/>
        <v>2.1177509942737087</v>
      </c>
      <c r="F776" s="10">
        <v>45652</v>
      </c>
      <c r="H776">
        <f t="shared" si="9"/>
        <v>702.05376112739691</v>
      </c>
      <c r="I776" s="9">
        <f t="shared" si="10"/>
        <v>121.80981084534938</v>
      </c>
      <c r="J776" s="9">
        <f t="shared" si="11"/>
        <v>1282.2977114094444</v>
      </c>
    </row>
    <row r="777" spans="1:10" x14ac:dyDescent="0.2">
      <c r="A777" s="7">
        <v>45653</v>
      </c>
      <c r="C777">
        <f t="shared" si="6"/>
        <v>1.002137990908927</v>
      </c>
      <c r="D777" s="9">
        <f t="shared" si="7"/>
        <v>-0.12813277236400267</v>
      </c>
      <c r="E777" s="9">
        <f t="shared" si="8"/>
        <v>2.1324087541818564</v>
      </c>
      <c r="F777" s="10">
        <v>45653</v>
      </c>
      <c r="H777">
        <f t="shared" si="9"/>
        <v>702.09179374086705</v>
      </c>
      <c r="I777" s="9">
        <f t="shared" si="10"/>
        <v>117.69068819208348</v>
      </c>
      <c r="J777" s="9">
        <f t="shared" si="11"/>
        <v>1286.4928992896507</v>
      </c>
    </row>
    <row r="778" spans="1:10" x14ac:dyDescent="0.2">
      <c r="A778" s="7">
        <v>45654</v>
      </c>
      <c r="C778">
        <f t="shared" si="6"/>
        <v>1.0042165326448469</v>
      </c>
      <c r="D778" s="9">
        <f t="shared" si="7"/>
        <v>-0.1341197708466324</v>
      </c>
      <c r="E778" s="9">
        <f t="shared" si="8"/>
        <v>2.1425528361363262</v>
      </c>
      <c r="F778" s="10">
        <v>45654</v>
      </c>
      <c r="H778">
        <f t="shared" si="9"/>
        <v>702.12982635433752</v>
      </c>
      <c r="I778" s="9">
        <f t="shared" si="10"/>
        <v>113.55510076964902</v>
      </c>
      <c r="J778" s="9">
        <f t="shared" si="11"/>
        <v>1290.704551939026</v>
      </c>
    </row>
    <row r="779" spans="1:10" x14ac:dyDescent="0.2">
      <c r="A779" s="7">
        <v>45655</v>
      </c>
      <c r="C779">
        <f t="shared" si="6"/>
        <v>0.98132893491814466</v>
      </c>
      <c r="D779" s="9">
        <f t="shared" si="7"/>
        <v>-0.16519349443350584</v>
      </c>
      <c r="E779" s="9">
        <f t="shared" si="8"/>
        <v>2.1278513642697954</v>
      </c>
      <c r="F779" s="10">
        <v>45655</v>
      </c>
      <c r="H779">
        <f t="shared" si="9"/>
        <v>702.16785896780766</v>
      </c>
      <c r="I779" s="9">
        <f t="shared" si="10"/>
        <v>109.40314426634802</v>
      </c>
      <c r="J779" s="9">
        <f t="shared" si="11"/>
        <v>1294.9325736692672</v>
      </c>
    </row>
    <row r="780" spans="1:10" x14ac:dyDescent="0.2">
      <c r="A780" s="7">
        <v>45656</v>
      </c>
      <c r="C780">
        <f t="shared" si="6"/>
        <v>0.9785835741305341</v>
      </c>
      <c r="D780" s="9">
        <f t="shared" si="7"/>
        <v>-0.17606694536277823</v>
      </c>
      <c r="E780" s="9">
        <f t="shared" si="8"/>
        <v>2.1332340936238463</v>
      </c>
      <c r="F780" s="10">
        <v>45656</v>
      </c>
      <c r="H780">
        <f t="shared" si="9"/>
        <v>702.20589158127814</v>
      </c>
      <c r="I780" s="9">
        <f t="shared" si="10"/>
        <v>105.23491303583</v>
      </c>
      <c r="J780" s="9">
        <f t="shared" si="11"/>
        <v>1299.1768701267263</v>
      </c>
    </row>
    <row r="781" spans="1:10" x14ac:dyDescent="0.2">
      <c r="A781" s="7">
        <v>45657</v>
      </c>
      <c r="C781">
        <f t="shared" si="6"/>
        <v>0.98288770478889831</v>
      </c>
      <c r="D781" s="9">
        <f t="shared" si="7"/>
        <v>-0.17992222752385179</v>
      </c>
      <c r="E781" s="9">
        <f t="shared" si="8"/>
        <v>2.1456976371016485</v>
      </c>
      <c r="F781" s="10">
        <v>45657</v>
      </c>
      <c r="H781">
        <f t="shared" si="9"/>
        <v>702.24392419474827</v>
      </c>
      <c r="I781" s="9">
        <f t="shared" si="10"/>
        <v>101.05050011798096</v>
      </c>
      <c r="J781" s="9">
        <f t="shared" si="11"/>
        <v>1303.4373482715155</v>
      </c>
    </row>
    <row r="782" spans="1:10" x14ac:dyDescent="0.2">
      <c r="A782" s="7">
        <v>45658</v>
      </c>
      <c r="C782">
        <f t="shared" si="6"/>
        <v>1.0047750152196393</v>
      </c>
      <c r="D782" s="9">
        <f t="shared" si="7"/>
        <v>-0.16622547478681704</v>
      </c>
      <c r="E782" s="9">
        <f t="shared" si="8"/>
        <v>2.1757755052260954</v>
      </c>
      <c r="F782" s="10">
        <v>45658</v>
      </c>
      <c r="H782">
        <f t="shared" si="9"/>
        <v>702.28195680821887</v>
      </c>
      <c r="I782" s="9">
        <f t="shared" si="10"/>
        <v>96.849997259624047</v>
      </c>
      <c r="J782" s="9">
        <f t="shared" si="11"/>
        <v>1307.7139163568136</v>
      </c>
    </row>
    <row r="783" spans="1:10" x14ac:dyDescent="0.2">
      <c r="A783" s="7">
        <v>45659</v>
      </c>
      <c r="C783">
        <f t="shared" si="6"/>
        <v>1.0015368217860405</v>
      </c>
      <c r="D783" s="9">
        <f t="shared" si="7"/>
        <v>-0.17768519544762751</v>
      </c>
      <c r="E783" s="9">
        <f t="shared" si="8"/>
        <v>2.1807588390197088</v>
      </c>
      <c r="F783" s="10">
        <v>45659</v>
      </c>
      <c r="H783">
        <f t="shared" si="9"/>
        <v>702.31998942168889</v>
      </c>
      <c r="I783" s="9">
        <f t="shared" si="10"/>
        <v>92.63349493500948</v>
      </c>
      <c r="J783" s="9">
        <f t="shared" si="11"/>
        <v>1312.0064839083684</v>
      </c>
    </row>
    <row r="784" spans="1:10" x14ac:dyDescent="0.2">
      <c r="A784" s="7">
        <v>45660</v>
      </c>
      <c r="C784">
        <f t="shared" si="6"/>
        <v>0.99611626836827749</v>
      </c>
      <c r="D784" s="9">
        <f t="shared" si="7"/>
        <v>-0.19135807270901706</v>
      </c>
      <c r="E784" s="9">
        <f t="shared" si="8"/>
        <v>2.1835906094455719</v>
      </c>
      <c r="F784" s="10">
        <v>45660</v>
      </c>
      <c r="H784">
        <f t="shared" si="9"/>
        <v>702.35802203515948</v>
      </c>
      <c r="I784" s="9">
        <f t="shared" si="10"/>
        <v>88.401082366100923</v>
      </c>
      <c r="J784" s="9">
        <f t="shared" si="11"/>
        <v>1316.3149617042181</v>
      </c>
    </row>
    <row r="785" spans="1:10" x14ac:dyDescent="0.2">
      <c r="A785" s="7">
        <v>45661</v>
      </c>
      <c r="C785">
        <f t="shared" si="6"/>
        <v>1.0027403527153338</v>
      </c>
      <c r="D785" s="9">
        <f t="shared" si="7"/>
        <v>-0.19301693828992361</v>
      </c>
      <c r="E785" s="9">
        <f t="shared" si="8"/>
        <v>2.1984976437205912</v>
      </c>
      <c r="F785" s="10">
        <v>45661</v>
      </c>
      <c r="H785">
        <f t="shared" si="9"/>
        <v>702.3960546486295</v>
      </c>
      <c r="I785" s="9">
        <f t="shared" si="10"/>
        <v>84.152847542633822</v>
      </c>
      <c r="J785" s="9">
        <f t="shared" si="11"/>
        <v>1320.6392617546253</v>
      </c>
    </row>
    <row r="786" spans="1:10" x14ac:dyDescent="0.2">
      <c r="A786" s="7">
        <v>45662</v>
      </c>
      <c r="C786">
        <f t="shared" si="6"/>
        <v>1.0048188944512535</v>
      </c>
      <c r="D786" s="9">
        <f t="shared" si="7"/>
        <v>-0.19925180438100454</v>
      </c>
      <c r="E786" s="9">
        <f t="shared" si="8"/>
        <v>2.2088895932835113</v>
      </c>
      <c r="F786" s="10">
        <v>45662</v>
      </c>
      <c r="H786">
        <f t="shared" si="9"/>
        <v>702.43408726210009</v>
      </c>
      <c r="I786" s="9">
        <f t="shared" si="10"/>
        <v>79.888877241956948</v>
      </c>
      <c r="J786" s="9">
        <f t="shared" si="11"/>
        <v>1324.9792972822434</v>
      </c>
    </row>
    <row r="787" spans="1:10" x14ac:dyDescent="0.2">
      <c r="A787" s="7">
        <v>45663</v>
      </c>
      <c r="C787">
        <f t="shared" ref="C787:C818" si="12">_xlfn.FORECAST.ETS(A787,$B$2:$B$722,$A$2:$A$722,1,1)</f>
        <v>0.98193129672455126</v>
      </c>
      <c r="D787" s="9">
        <f t="shared" ref="D787:D818" si="13">C787-_xlfn.FORECAST.ETS.CONFINT(A787,$B$2:$B$722,$A$2:$A$722,0.95,1,1)</f>
        <v>-0.23057085532061161</v>
      </c>
      <c r="E787" s="9">
        <f t="shared" ref="E787:E818" si="14">C787+_xlfn.FORECAST.ETS.CONFINT(A787,$B$2:$B$722,$A$2:$A$722,0.95,1,1)</f>
        <v>2.1944334487697139</v>
      </c>
      <c r="F787" s="10">
        <v>45663</v>
      </c>
      <c r="H787">
        <f t="shared" ref="H787:H818" si="15">_xlfn.FORECAST.ETS(F787,$G$2:$G$722,$F$2:$F$722,1,1)</f>
        <v>702.47211987557012</v>
      </c>
      <c r="I787" s="9">
        <f t="shared" ref="I787:I818" si="16">H787-_xlfn.FORECAST.ETS.CONFINT(F787,$G$2:$G$722,$F$2:$F$722,0.95,1,1)</f>
        <v>75.609257048633935</v>
      </c>
      <c r="J787" s="9">
        <f t="shared" ref="J787:J818" si="17">H787+_xlfn.FORECAST.ETS.CONFINT(F787,$G$2:$G$722,$F$2:$F$722,0.95,1,1)</f>
        <v>1329.3349827025063</v>
      </c>
    </row>
    <row r="788" spans="1:10" x14ac:dyDescent="0.2">
      <c r="A788" s="7">
        <v>45664</v>
      </c>
      <c r="C788">
        <f t="shared" si="12"/>
        <v>0.97918593593694081</v>
      </c>
      <c r="D788" s="9">
        <f t="shared" si="13"/>
        <v>-0.24168944248704105</v>
      </c>
      <c r="E788" s="9">
        <f t="shared" si="14"/>
        <v>2.2000613143609229</v>
      </c>
      <c r="F788" s="10">
        <v>45664</v>
      </c>
      <c r="H788">
        <f t="shared" si="15"/>
        <v>702.51015248904071</v>
      </c>
      <c r="I788" s="9">
        <f t="shared" si="16"/>
        <v>71.314071373816773</v>
      </c>
      <c r="J788" s="9">
        <f t="shared" si="17"/>
        <v>1333.7062336042645</v>
      </c>
    </row>
    <row r="789" spans="1:10" x14ac:dyDescent="0.2">
      <c r="A789" s="7">
        <v>45665</v>
      </c>
      <c r="C789">
        <f t="shared" si="12"/>
        <v>0.98349006659530502</v>
      </c>
      <c r="D789" s="9">
        <f t="shared" si="13"/>
        <v>-0.24578851134556801</v>
      </c>
      <c r="E789" s="9">
        <f t="shared" si="14"/>
        <v>2.2127686445361778</v>
      </c>
      <c r="F789" s="10">
        <v>45665</v>
      </c>
      <c r="H789">
        <f t="shared" si="15"/>
        <v>702.54818510251073</v>
      </c>
      <c r="I789" s="9">
        <f t="shared" si="16"/>
        <v>67.003403474369634</v>
      </c>
      <c r="J789" s="9">
        <f t="shared" si="17"/>
        <v>1338.0929667306518</v>
      </c>
    </row>
    <row r="790" spans="1:10" x14ac:dyDescent="0.2">
      <c r="A790" s="7">
        <v>45666</v>
      </c>
      <c r="C790">
        <f t="shared" si="12"/>
        <v>1.0053773770260459</v>
      </c>
      <c r="D790" s="9">
        <f t="shared" si="13"/>
        <v>-0.23233421432849299</v>
      </c>
      <c r="E790" s="9">
        <f t="shared" si="14"/>
        <v>2.2430889683805848</v>
      </c>
      <c r="F790" s="10">
        <v>45666</v>
      </c>
      <c r="H790">
        <f t="shared" si="15"/>
        <v>702.58621771598132</v>
      </c>
      <c r="I790" s="9">
        <f t="shared" si="16"/>
        <v>62.677335471756919</v>
      </c>
      <c r="J790" s="9">
        <f t="shared" si="17"/>
        <v>1342.4950999602056</v>
      </c>
    </row>
    <row r="791" spans="1:10" x14ac:dyDescent="0.2">
      <c r="A791" s="7">
        <v>45667</v>
      </c>
      <c r="C791">
        <f t="shared" si="12"/>
        <v>1.0021391835924471</v>
      </c>
      <c r="D791" s="9">
        <f t="shared" si="13"/>
        <v>-0.24403507799418223</v>
      </c>
      <c r="E791" s="9">
        <f t="shared" si="14"/>
        <v>2.2483134451790763</v>
      </c>
      <c r="F791" s="10">
        <v>45667</v>
      </c>
      <c r="H791">
        <f t="shared" si="15"/>
        <v>702.62425032945146</v>
      </c>
      <c r="I791" s="9">
        <f t="shared" si="16"/>
        <v>58.335948370673691</v>
      </c>
      <c r="J791" s="9">
        <f t="shared" si="17"/>
        <v>1346.9125522882291</v>
      </c>
    </row>
    <row r="792" spans="1:10" x14ac:dyDescent="0.2">
      <c r="A792" s="7">
        <v>45668</v>
      </c>
      <c r="C792">
        <f t="shared" si="12"/>
        <v>0.99671863017468421</v>
      </c>
      <c r="D792" s="9">
        <f t="shared" si="13"/>
        <v>-0.25794780351159763</v>
      </c>
      <c r="E792" s="9">
        <f t="shared" si="14"/>
        <v>2.2513850638609663</v>
      </c>
      <c r="F792" s="10">
        <v>45668</v>
      </c>
      <c r="H792">
        <f t="shared" si="15"/>
        <v>702.66228294292193</v>
      </c>
      <c r="I792" s="9">
        <f t="shared" si="16"/>
        <v>53.979322077435768</v>
      </c>
      <c r="J792" s="9">
        <f t="shared" si="17"/>
        <v>1351.3452438084082</v>
      </c>
    </row>
    <row r="793" spans="1:10" x14ac:dyDescent="0.2">
      <c r="A793" s="7">
        <v>45669</v>
      </c>
      <c r="C793">
        <f t="shared" si="12"/>
        <v>1.0033427145217404</v>
      </c>
      <c r="D793" s="9">
        <f t="shared" si="13"/>
        <v>-0.25984524027340128</v>
      </c>
      <c r="E793" s="9">
        <f t="shared" si="14"/>
        <v>2.2665306693168823</v>
      </c>
      <c r="F793" s="10">
        <v>45669</v>
      </c>
      <c r="H793">
        <f t="shared" si="15"/>
        <v>702.70031555639207</v>
      </c>
      <c r="I793" s="9">
        <f t="shared" si="16"/>
        <v>49.607535418107432</v>
      </c>
      <c r="J793" s="9">
        <f t="shared" si="17"/>
        <v>1355.7930956946766</v>
      </c>
    </row>
    <row r="794" spans="1:10" x14ac:dyDescent="0.2">
      <c r="A794" s="7">
        <v>45670</v>
      </c>
      <c r="C794">
        <f t="shared" si="12"/>
        <v>1.0054212562576603</v>
      </c>
      <c r="D794" s="9">
        <f t="shared" si="13"/>
        <v>-0.26631741785520546</v>
      </c>
      <c r="E794" s="9">
        <f t="shared" si="14"/>
        <v>2.2771599303705261</v>
      </c>
      <c r="F794" s="10">
        <v>45670</v>
      </c>
      <c r="H794">
        <f t="shared" si="15"/>
        <v>702.73834816986255</v>
      </c>
      <c r="I794" s="9">
        <f t="shared" si="16"/>
        <v>45.220666156382435</v>
      </c>
      <c r="J794" s="9">
        <f t="shared" si="17"/>
        <v>1360.2560301833428</v>
      </c>
    </row>
    <row r="795" spans="1:10" x14ac:dyDescent="0.2">
      <c r="A795" s="7">
        <v>45671</v>
      </c>
      <c r="C795">
        <f t="shared" si="12"/>
        <v>0.98253365853095798</v>
      </c>
      <c r="D795" s="9">
        <f t="shared" si="13"/>
        <v>-0.29787137347010118</v>
      </c>
      <c r="E795" s="9">
        <f t="shared" si="14"/>
        <v>2.262938690532017</v>
      </c>
      <c r="F795" s="10">
        <v>45671</v>
      </c>
      <c r="H795">
        <f t="shared" si="15"/>
        <v>702.77638078333268</v>
      </c>
      <c r="I795" s="9">
        <f t="shared" si="16"/>
        <v>40.818791011202734</v>
      </c>
      <c r="J795" s="9">
        <f t="shared" si="17"/>
        <v>1364.7339705554627</v>
      </c>
    </row>
    <row r="796" spans="1:10" x14ac:dyDescent="0.2">
      <c r="A796" s="7">
        <v>45672</v>
      </c>
      <c r="C796">
        <f t="shared" si="12"/>
        <v>0.97978829774334752</v>
      </c>
      <c r="D796" s="9">
        <f t="shared" si="13"/>
        <v>-0.30922482736939438</v>
      </c>
      <c r="E796" s="9">
        <f t="shared" si="14"/>
        <v>2.2688014228560895</v>
      </c>
      <c r="F796" s="10">
        <v>45672</v>
      </c>
      <c r="H796">
        <f t="shared" si="15"/>
        <v>702.81441339680316</v>
      </c>
      <c r="I796" s="9">
        <f t="shared" si="16"/>
        <v>36.401985674126649</v>
      </c>
      <c r="J796" s="9">
        <f t="shared" si="17"/>
        <v>1369.2268411194796</v>
      </c>
    </row>
    <row r="797" spans="1:10" x14ac:dyDescent="0.2">
      <c r="A797" s="7">
        <v>45673</v>
      </c>
      <c r="C797">
        <f t="shared" si="12"/>
        <v>0.98409242840171174</v>
      </c>
      <c r="D797" s="9">
        <f t="shared" si="13"/>
        <v>-0.31355755342016967</v>
      </c>
      <c r="E797" s="9">
        <f t="shared" si="14"/>
        <v>2.2817424102235933</v>
      </c>
      <c r="F797" s="10">
        <v>45673</v>
      </c>
      <c r="H797">
        <f t="shared" si="15"/>
        <v>702.8524460102733</v>
      </c>
      <c r="I797" s="9">
        <f t="shared" si="16"/>
        <v>31.970324826434648</v>
      </c>
      <c r="J797" s="9">
        <f t="shared" si="17"/>
        <v>1373.7345671941121</v>
      </c>
    </row>
    <row r="798" spans="1:10" x14ac:dyDescent="0.2">
      <c r="A798" s="7">
        <v>45674</v>
      </c>
      <c r="C798">
        <f t="shared" si="12"/>
        <v>1.0059797388324527</v>
      </c>
      <c r="D798" s="9">
        <f t="shared" si="13"/>
        <v>-0.30033572032502076</v>
      </c>
      <c r="E798" s="9">
        <f t="shared" si="14"/>
        <v>2.3122951979899264</v>
      </c>
      <c r="F798" s="10">
        <v>45674</v>
      </c>
      <c r="H798">
        <f t="shared" si="15"/>
        <v>702.89047862374377</v>
      </c>
      <c r="I798" s="9">
        <f t="shared" si="16"/>
        <v>27.523882155981937</v>
      </c>
      <c r="J798" s="9">
        <f t="shared" si="17"/>
        <v>1378.2570750915056</v>
      </c>
    </row>
    <row r="799" spans="1:10" x14ac:dyDescent="0.2">
      <c r="A799" s="7">
        <v>45675</v>
      </c>
      <c r="C799">
        <f t="shared" si="12"/>
        <v>1.002741545398854</v>
      </c>
      <c r="D799" s="9">
        <f t="shared" si="13"/>
        <v>-0.31226787064319961</v>
      </c>
      <c r="E799" s="9">
        <f t="shared" si="14"/>
        <v>2.3177509614409075</v>
      </c>
      <c r="F799" s="10">
        <v>45675</v>
      </c>
      <c r="H799">
        <f t="shared" si="15"/>
        <v>702.92851123721391</v>
      </c>
      <c r="I799" s="9">
        <f t="shared" si="16"/>
        <v>23.062730373790828</v>
      </c>
      <c r="J799" s="9">
        <f t="shared" si="17"/>
        <v>1382.794292100637</v>
      </c>
    </row>
    <row r="800" spans="1:10" x14ac:dyDescent="0.2">
      <c r="A800" s="7">
        <v>45676</v>
      </c>
      <c r="C800">
        <f t="shared" si="12"/>
        <v>0.99732099198109081</v>
      </c>
      <c r="D800" s="9">
        <f t="shared" si="13"/>
        <v>-0.32641072127905635</v>
      </c>
      <c r="E800" s="9">
        <f t="shared" si="14"/>
        <v>2.3210527052412377</v>
      </c>
      <c r="F800" s="10">
        <v>45676</v>
      </c>
      <c r="H800">
        <f t="shared" si="15"/>
        <v>702.9665438506845</v>
      </c>
      <c r="I800" s="9">
        <f t="shared" si="16"/>
        <v>18.586941230390266</v>
      </c>
      <c r="J800" s="9">
        <f t="shared" si="17"/>
        <v>1387.3461464709787</v>
      </c>
    </row>
    <row r="801" spans="1:10" x14ac:dyDescent="0.2">
      <c r="A801" s="7">
        <v>45677</v>
      </c>
      <c r="C801">
        <f t="shared" si="12"/>
        <v>1.003945076328147</v>
      </c>
      <c r="D801" s="9">
        <f t="shared" si="13"/>
        <v>-0.32853713709906285</v>
      </c>
      <c r="E801" s="9">
        <f t="shared" si="14"/>
        <v>2.3364272897553571</v>
      </c>
      <c r="F801" s="10">
        <v>45677</v>
      </c>
      <c r="H801">
        <f t="shared" si="15"/>
        <v>703.00457646415452</v>
      </c>
      <c r="I801" s="9">
        <f t="shared" si="16"/>
        <v>14.09658553189422</v>
      </c>
      <c r="J801" s="9">
        <f t="shared" si="17"/>
        <v>1391.9125673964149</v>
      </c>
    </row>
    <row r="802" spans="1:10" x14ac:dyDescent="0.2">
      <c r="A802" s="7">
        <v>45678</v>
      </c>
      <c r="C802">
        <f t="shared" si="12"/>
        <v>1.0060236180640669</v>
      </c>
      <c r="D802" s="9">
        <f t="shared" si="13"/>
        <v>-0.33523716289498662</v>
      </c>
      <c r="E802" s="9">
        <f t="shared" si="14"/>
        <v>2.3472843990231205</v>
      </c>
      <c r="F802" s="10">
        <v>45678</v>
      </c>
      <c r="H802">
        <f t="shared" si="15"/>
        <v>703.04260907762512</v>
      </c>
      <c r="I802" s="9">
        <f t="shared" si="16"/>
        <v>9.591733155832344</v>
      </c>
      <c r="J802" s="9">
        <f t="shared" si="17"/>
        <v>1396.4934849994179</v>
      </c>
    </row>
    <row r="803" spans="1:10" x14ac:dyDescent="0.2">
      <c r="A803" s="7">
        <v>45679</v>
      </c>
      <c r="C803">
        <f t="shared" si="12"/>
        <v>0.98313602033736469</v>
      </c>
      <c r="D803" s="9">
        <f t="shared" si="13"/>
        <v>-0.36701668700105272</v>
      </c>
      <c r="E803" s="9">
        <f t="shared" si="14"/>
        <v>2.3332887276757823</v>
      </c>
      <c r="F803" s="10">
        <v>45679</v>
      </c>
      <c r="H803">
        <f t="shared" si="15"/>
        <v>703.08064169109514</v>
      </c>
      <c r="I803" s="9">
        <f t="shared" si="16"/>
        <v>5.0724530667197314</v>
      </c>
      <c r="J803" s="9">
        <f t="shared" si="17"/>
        <v>1401.0888303154707</v>
      </c>
    </row>
    <row r="804" spans="1:10" x14ac:dyDescent="0.2">
      <c r="A804" s="7">
        <v>45680</v>
      </c>
      <c r="C804">
        <f t="shared" si="12"/>
        <v>0.98039065954975424</v>
      </c>
      <c r="D804" s="9">
        <f t="shared" si="13"/>
        <v>-0.37859579502866647</v>
      </c>
      <c r="E804" s="9">
        <f t="shared" si="14"/>
        <v>2.3393771141281752</v>
      </c>
      <c r="F804" s="10">
        <v>45680</v>
      </c>
      <c r="H804">
        <f t="shared" si="15"/>
        <v>703.11867430456573</v>
      </c>
      <c r="I804" s="9">
        <f t="shared" si="16"/>
        <v>0.53881333138201626</v>
      </c>
      <c r="J804" s="9">
        <f t="shared" si="17"/>
        <v>1405.6985352777494</v>
      </c>
    </row>
    <row r="805" spans="1:10" x14ac:dyDescent="0.2">
      <c r="A805" s="7">
        <v>45681</v>
      </c>
      <c r="C805">
        <f t="shared" si="12"/>
        <v>0.98469479020811845</v>
      </c>
      <c r="D805" s="9">
        <f t="shared" si="13"/>
        <v>-0.38315308819341132</v>
      </c>
      <c r="E805" s="9">
        <f t="shared" si="14"/>
        <v>2.3525426686096482</v>
      </c>
      <c r="F805" s="10">
        <v>45681</v>
      </c>
      <c r="H805">
        <f t="shared" si="15"/>
        <v>703.15670691803575</v>
      </c>
      <c r="I805" s="9">
        <f t="shared" si="16"/>
        <v>-4.0091188659783938</v>
      </c>
      <c r="J805" s="9">
        <f t="shared" si="17"/>
        <v>1410.32253270205</v>
      </c>
    </row>
    <row r="806" spans="1:10" x14ac:dyDescent="0.2">
      <c r="A806" s="7">
        <v>45682</v>
      </c>
      <c r="C806">
        <f t="shared" si="12"/>
        <v>1.0065821006388593</v>
      </c>
      <c r="D806" s="9">
        <f t="shared" si="13"/>
        <v>-0.37015474942545468</v>
      </c>
      <c r="E806" s="9">
        <f t="shared" si="14"/>
        <v>2.3833189507031731</v>
      </c>
      <c r="F806" s="10">
        <v>45682</v>
      </c>
      <c r="H806">
        <f t="shared" si="15"/>
        <v>703.19473953150634</v>
      </c>
      <c r="I806" s="9">
        <f t="shared" si="16"/>
        <v>-8.5712772089543705</v>
      </c>
      <c r="J806" s="9">
        <f t="shared" si="17"/>
        <v>1414.9607562719671</v>
      </c>
    </row>
    <row r="807" spans="1:10" x14ac:dyDescent="0.2">
      <c r="A807" s="7">
        <v>45683</v>
      </c>
      <c r="C807">
        <f t="shared" si="12"/>
        <v>1.0033439072052606</v>
      </c>
      <c r="D807" s="9">
        <f t="shared" si="13"/>
        <v>-0.38230933527349409</v>
      </c>
      <c r="E807" s="9">
        <f t="shared" si="14"/>
        <v>2.3889971496840152</v>
      </c>
      <c r="F807" s="10">
        <v>45683</v>
      </c>
      <c r="H807">
        <f t="shared" si="15"/>
        <v>703.23277214497637</v>
      </c>
      <c r="I807" s="9">
        <f t="shared" si="16"/>
        <v>-13.147596234363618</v>
      </c>
      <c r="J807" s="9">
        <f t="shared" si="17"/>
        <v>1419.6131405243163</v>
      </c>
    </row>
    <row r="808" spans="1:10" x14ac:dyDescent="0.2">
      <c r="A808" s="7">
        <v>45684</v>
      </c>
      <c r="C808">
        <f t="shared" si="12"/>
        <v>0.99792335378749752</v>
      </c>
      <c r="D808" s="9">
        <f t="shared" si="13"/>
        <v>-0.39667357639703715</v>
      </c>
      <c r="E808" s="9">
        <f t="shared" si="14"/>
        <v>2.3925202839720323</v>
      </c>
      <c r="F808" s="10">
        <v>45684</v>
      </c>
      <c r="H808">
        <f t="shared" si="15"/>
        <v>703.27080475844696</v>
      </c>
      <c r="I808" s="9">
        <f t="shared" si="16"/>
        <v>-17.738011317912196</v>
      </c>
      <c r="J808" s="9">
        <f t="shared" si="17"/>
        <v>1424.2796208348061</v>
      </c>
    </row>
    <row r="809" spans="1:10" x14ac:dyDescent="0.2">
      <c r="A809" s="7">
        <v>45685</v>
      </c>
      <c r="C809">
        <f t="shared" si="12"/>
        <v>1.0045474381345538</v>
      </c>
      <c r="D809" s="9">
        <f t="shared" si="13"/>
        <v>-0.39902035118723855</v>
      </c>
      <c r="E809" s="9">
        <f t="shared" si="14"/>
        <v>2.4081152274563462</v>
      </c>
      <c r="F809" s="10">
        <v>45685</v>
      </c>
      <c r="H809">
        <f t="shared" si="15"/>
        <v>703.30883737191709</v>
      </c>
      <c r="I809" s="9">
        <f t="shared" si="16"/>
        <v>-22.342458660108832</v>
      </c>
      <c r="J809" s="9">
        <f t="shared" si="17"/>
        <v>1428.960133403943</v>
      </c>
    </row>
    <row r="810" spans="1:10" x14ac:dyDescent="0.2">
      <c r="A810" s="7">
        <v>45686</v>
      </c>
      <c r="C810">
        <f t="shared" si="12"/>
        <v>1.0066259798704738</v>
      </c>
      <c r="D810" s="9">
        <f t="shared" si="13"/>
        <v>-0.40593971773386217</v>
      </c>
      <c r="E810" s="9">
        <f t="shared" si="14"/>
        <v>2.4191916774748097</v>
      </c>
      <c r="F810" s="10">
        <v>45686</v>
      </c>
      <c r="H810">
        <f t="shared" si="15"/>
        <v>703.34686998538757</v>
      </c>
      <c r="I810" s="9">
        <f t="shared" si="16"/>
        <v>-26.96087527241275</v>
      </c>
      <c r="J810" s="9">
        <f t="shared" si="17"/>
        <v>1433.6546152431879</v>
      </c>
    </row>
    <row r="811" spans="1:10" x14ac:dyDescent="0.2">
      <c r="A811" s="7">
        <v>45687</v>
      </c>
      <c r="C811">
        <f t="shared" si="12"/>
        <v>0.98373838214377141</v>
      </c>
      <c r="D811" s="9">
        <f t="shared" si="13"/>
        <v>-0.43793642263453181</v>
      </c>
      <c r="E811" s="9">
        <f t="shared" si="14"/>
        <v>2.4054131869220745</v>
      </c>
      <c r="F811" s="10">
        <v>45687</v>
      </c>
      <c r="H811">
        <f t="shared" si="15"/>
        <v>703.38490259885771</v>
      </c>
      <c r="I811" s="9">
        <f t="shared" si="16"/>
        <v>-31.593198963622399</v>
      </c>
      <c r="J811" s="9">
        <f t="shared" si="17"/>
        <v>1438.3630041613378</v>
      </c>
    </row>
    <row r="812" spans="1:10" x14ac:dyDescent="0.2">
      <c r="A812" s="7">
        <v>45688</v>
      </c>
      <c r="C812">
        <f t="shared" si="12"/>
        <v>0.98099302135616095</v>
      </c>
      <c r="D812" s="9">
        <f t="shared" si="13"/>
        <v>-0.44973289615369805</v>
      </c>
      <c r="E812" s="9">
        <f t="shared" si="14"/>
        <v>2.4117189388660201</v>
      </c>
      <c r="F812" s="10">
        <v>45688</v>
      </c>
      <c r="H812">
        <f t="shared" si="15"/>
        <v>703.42293521232818</v>
      </c>
      <c r="I812" s="9">
        <f t="shared" si="16"/>
        <v>-36.239368326495764</v>
      </c>
      <c r="J812" s="9">
        <f t="shared" si="17"/>
        <v>1443.0852387511522</v>
      </c>
    </row>
    <row r="813" spans="1:10" x14ac:dyDescent="0.2">
      <c r="A813" s="7">
        <v>45689</v>
      </c>
      <c r="C813">
        <f t="shared" si="12"/>
        <v>0.98529715201452506</v>
      </c>
      <c r="D813" s="9">
        <f t="shared" si="13"/>
        <v>-0.45450657485537249</v>
      </c>
      <c r="E813" s="9">
        <f t="shared" si="14"/>
        <v>2.4251008788844226</v>
      </c>
      <c r="F813" s="10">
        <v>45689</v>
      </c>
      <c r="H813">
        <f t="shared" si="15"/>
        <v>703.46096782579832</v>
      </c>
      <c r="I813" s="9">
        <f t="shared" si="16"/>
        <v>-40.899322724606805</v>
      </c>
      <c r="J813" s="9">
        <f t="shared" si="17"/>
        <v>1447.8212583762033</v>
      </c>
    </row>
    <row r="814" spans="1:10" x14ac:dyDescent="0.2">
      <c r="A814" s="7">
        <v>45690</v>
      </c>
      <c r="C814">
        <f t="shared" si="12"/>
        <v>1.0071844624452659</v>
      </c>
      <c r="D814" s="9">
        <f t="shared" si="13"/>
        <v>-0.44172365410160874</v>
      </c>
      <c r="E814" s="9">
        <f t="shared" si="14"/>
        <v>2.4560925789921404</v>
      </c>
      <c r="F814" s="10">
        <v>45690</v>
      </c>
      <c r="H814">
        <f t="shared" si="15"/>
        <v>703.4990004392688</v>
      </c>
      <c r="I814" s="9">
        <f t="shared" si="16"/>
        <v>-45.573002279425282</v>
      </c>
      <c r="J814" s="9">
        <f t="shared" si="17"/>
        <v>1452.5710031579629</v>
      </c>
    </row>
    <row r="815" spans="1:10" x14ac:dyDescent="0.2">
      <c r="A815" s="7">
        <v>45691</v>
      </c>
      <c r="C815">
        <f t="shared" si="12"/>
        <v>1.0039462690116672</v>
      </c>
      <c r="D815" s="9">
        <f t="shared" si="13"/>
        <v>-0.45409270266476054</v>
      </c>
      <c r="E815" s="9">
        <f t="shared" si="14"/>
        <v>2.4619852406880947</v>
      </c>
      <c r="F815" s="10">
        <v>45691</v>
      </c>
      <c r="H815">
        <f t="shared" si="15"/>
        <v>703.53703305273893</v>
      </c>
      <c r="I815" s="9">
        <f t="shared" si="16"/>
        <v>-50.260347857628176</v>
      </c>
      <c r="J815" s="9">
        <f t="shared" si="17"/>
        <v>1457.334413963106</v>
      </c>
    </row>
    <row r="816" spans="1:10" x14ac:dyDescent="0.2">
      <c r="A816" s="7">
        <v>45692</v>
      </c>
      <c r="C816">
        <f t="shared" si="12"/>
        <v>0.99852571559390424</v>
      </c>
      <c r="D816" s="9">
        <f t="shared" si="13"/>
        <v>-0.46867046322333406</v>
      </c>
      <c r="E816" s="9">
        <f t="shared" si="14"/>
        <v>2.4657218944111428</v>
      </c>
      <c r="F816" s="10">
        <v>45692</v>
      </c>
      <c r="H816">
        <f t="shared" si="15"/>
        <v>703.57506566620953</v>
      </c>
      <c r="I816" s="9">
        <f t="shared" si="16"/>
        <v>-54.961301058629942</v>
      </c>
      <c r="J816" s="9">
        <f t="shared" si="17"/>
        <v>1462.111432391049</v>
      </c>
    </row>
    <row r="817" spans="1:10" x14ac:dyDescent="0.2">
      <c r="A817" s="7">
        <v>45693</v>
      </c>
      <c r="C817">
        <f t="shared" si="12"/>
        <v>1.0051497999409604</v>
      </c>
      <c r="D817" s="9">
        <f t="shared" si="13"/>
        <v>-0.4712298259863601</v>
      </c>
      <c r="E817" s="9">
        <f t="shared" si="14"/>
        <v>2.4815294258682812</v>
      </c>
      <c r="F817" s="10">
        <v>45693</v>
      </c>
      <c r="H817">
        <f t="shared" si="15"/>
        <v>703.61309827967955</v>
      </c>
      <c r="I817" s="9">
        <f t="shared" si="16"/>
        <v>-59.675804202338441</v>
      </c>
      <c r="J817" s="9">
        <f t="shared" si="17"/>
        <v>1466.9020007616975</v>
      </c>
    </row>
    <row r="818" spans="1:10" x14ac:dyDescent="0.2">
      <c r="A818" s="7">
        <v>45694</v>
      </c>
      <c r="C818">
        <f t="shared" si="12"/>
        <v>1.0072283416768804</v>
      </c>
      <c r="D818" s="9">
        <f t="shared" si="13"/>
        <v>-0.47836086066384476</v>
      </c>
      <c r="E818" s="9">
        <f t="shared" si="14"/>
        <v>2.4928175440176057</v>
      </c>
      <c r="F818" s="10">
        <v>45694</v>
      </c>
      <c r="H818">
        <f t="shared" si="15"/>
        <v>703.65113089315014</v>
      </c>
      <c r="I818" s="9">
        <f t="shared" si="16"/>
        <v>-64.40380031712084</v>
      </c>
      <c r="J818" s="9">
        <f t="shared" si="17"/>
        <v>1471.7060621034211</v>
      </c>
    </row>
    <row r="819" spans="1:10" x14ac:dyDescent="0.2">
      <c r="A819" s="7">
        <v>45695</v>
      </c>
      <c r="C819">
        <f t="shared" ref="C819:C850" si="18">_xlfn.FORECAST.ETS(A819,$B$2:$B$722,$A$2:$A$722,1,1)</f>
        <v>0.98434074395017812</v>
      </c>
      <c r="D819" s="9">
        <f t="shared" ref="D819:D850" si="19">C819-_xlfn.FORECAST.ETS.CONFINT(A819,$B$2:$B$722,$A$2:$A$722,0.95,1,1)</f>
        <v>-0.51056718583899086</v>
      </c>
      <c r="E819" s="9">
        <f t="shared" ref="E819:E850" si="20">C819+_xlfn.FORECAST.ETS.CONFINT(A819,$B$2:$B$722,$A$2:$A$722,0.95,1,1)</f>
        <v>2.4792486737393471</v>
      </c>
      <c r="F819" s="10">
        <v>45695</v>
      </c>
      <c r="H819">
        <f t="shared" ref="H819:H850" si="21">_xlfn.FORECAST.ETS(F819,$G$2:$G$722,$F$2:$F$722,1,1)</f>
        <v>703.68916350662016</v>
      </c>
      <c r="I819" s="9">
        <f t="shared" ref="I819:I850" si="22">H819-_xlfn.FORECAST.ETS.CONFINT(F819,$G$2:$G$722,$F$2:$F$722,0.95,1,1)</f>
        <v>-69.145233127993492</v>
      </c>
      <c r="J819" s="9">
        <f t="shared" ref="J819:J850" si="23">H819+_xlfn.FORECAST.ETS.CONFINT(F819,$G$2:$G$722,$F$2:$F$722,0.95,1,1)</f>
        <v>1476.5235601412337</v>
      </c>
    </row>
    <row r="820" spans="1:10" x14ac:dyDescent="0.2">
      <c r="A820" s="7">
        <v>45696</v>
      </c>
      <c r="C820">
        <f t="shared" si="18"/>
        <v>0.98159538316256756</v>
      </c>
      <c r="D820" s="9">
        <f t="shared" si="19"/>
        <v>-0.52257354318238447</v>
      </c>
      <c r="E820" s="9">
        <f t="shared" si="20"/>
        <v>2.4857643095075197</v>
      </c>
      <c r="F820" s="10">
        <v>45696</v>
      </c>
      <c r="H820">
        <f t="shared" si="21"/>
        <v>703.72719612009075</v>
      </c>
      <c r="I820" s="9">
        <f t="shared" si="22"/>
        <v>-73.900047045012116</v>
      </c>
      <c r="J820" s="9">
        <f t="shared" si="23"/>
        <v>1481.3544392851936</v>
      </c>
    </row>
    <row r="821" spans="1:10" x14ac:dyDescent="0.2">
      <c r="A821" s="7">
        <v>45697</v>
      </c>
      <c r="C821">
        <f t="shared" si="18"/>
        <v>0.98589951382093177</v>
      </c>
      <c r="D821" s="9">
        <f t="shared" si="19"/>
        <v>-0.52755621927910601</v>
      </c>
      <c r="E821" s="9">
        <f t="shared" si="20"/>
        <v>2.4993552469209694</v>
      </c>
      <c r="F821" s="10">
        <v>45697</v>
      </c>
      <c r="H821">
        <f t="shared" si="21"/>
        <v>703.76522873356078</v>
      </c>
      <c r="I821" s="9">
        <f t="shared" si="22"/>
        <v>-78.668187151881398</v>
      </c>
      <c r="J821" s="9">
        <f t="shared" si="23"/>
        <v>1486.1986446190031</v>
      </c>
    </row>
    <row r="822" spans="1:10" x14ac:dyDescent="0.2">
      <c r="A822" s="7">
        <v>45698</v>
      </c>
      <c r="C822">
        <f t="shared" si="18"/>
        <v>1.0077868242516728</v>
      </c>
      <c r="D822" s="9">
        <f t="shared" si="19"/>
        <v>-0.51498142035858607</v>
      </c>
      <c r="E822" s="9">
        <f t="shared" si="20"/>
        <v>2.5305550688619318</v>
      </c>
      <c r="F822" s="10">
        <v>45698</v>
      </c>
      <c r="H822">
        <f t="shared" si="21"/>
        <v>703.80326134703137</v>
      </c>
      <c r="I822" s="9">
        <f t="shared" si="22"/>
        <v>-83.449599194759116</v>
      </c>
      <c r="J822" s="9">
        <f t="shared" si="23"/>
        <v>1491.056121888822</v>
      </c>
    </row>
    <row r="823" spans="1:10" x14ac:dyDescent="0.2">
      <c r="A823" s="7">
        <v>45699</v>
      </c>
      <c r="C823">
        <f t="shared" si="18"/>
        <v>1.004548630818074</v>
      </c>
      <c r="D823" s="9">
        <f t="shared" si="19"/>
        <v>-0.5275577258797135</v>
      </c>
      <c r="E823" s="9">
        <f t="shared" si="20"/>
        <v>2.5366549875158615</v>
      </c>
      <c r="F823" s="10">
        <v>45699</v>
      </c>
      <c r="H823">
        <f t="shared" si="21"/>
        <v>703.84129396050139</v>
      </c>
      <c r="I823" s="9">
        <f t="shared" si="22"/>
        <v>-88.244229571272967</v>
      </c>
      <c r="J823" s="9">
        <f t="shared" si="23"/>
        <v>1495.9268174922759</v>
      </c>
    </row>
    <row r="824" spans="1:10" x14ac:dyDescent="0.2">
      <c r="A824" s="7">
        <v>45700</v>
      </c>
      <c r="C824">
        <f t="shared" si="18"/>
        <v>0.99912807740031095</v>
      </c>
      <c r="D824" s="9">
        <f t="shared" si="19"/>
        <v>-0.5423418890299071</v>
      </c>
      <c r="E824" s="9">
        <f t="shared" si="20"/>
        <v>2.5405980438305291</v>
      </c>
      <c r="F824" s="10">
        <v>45700</v>
      </c>
      <c r="H824">
        <f t="shared" si="21"/>
        <v>703.87932657397198</v>
      </c>
      <c r="I824" s="9">
        <f t="shared" si="22"/>
        <v>-93.052025319725317</v>
      </c>
      <c r="J824" s="9">
        <f t="shared" si="23"/>
        <v>1500.8106784676693</v>
      </c>
    </row>
    <row r="825" spans="1:10" x14ac:dyDescent="0.2">
      <c r="A825" s="7">
        <v>45701</v>
      </c>
      <c r="C825">
        <f t="shared" si="18"/>
        <v>1.0057521617473673</v>
      </c>
      <c r="D825" s="9">
        <f t="shared" si="19"/>
        <v>-0.54510681035266551</v>
      </c>
      <c r="E825" s="9">
        <f t="shared" si="20"/>
        <v>2.5566111338474</v>
      </c>
      <c r="F825" s="10">
        <v>45701</v>
      </c>
      <c r="H825">
        <f t="shared" si="21"/>
        <v>703.91735918744212</v>
      </c>
      <c r="I825" s="9">
        <f t="shared" si="22"/>
        <v>-97.872934108504296</v>
      </c>
      <c r="J825" s="9">
        <f t="shared" si="23"/>
        <v>1505.7076524833885</v>
      </c>
    </row>
    <row r="826" spans="1:10" x14ac:dyDescent="0.2">
      <c r="A826" s="7">
        <v>45702</v>
      </c>
      <c r="C826">
        <f t="shared" si="18"/>
        <v>1.007830703483287</v>
      </c>
      <c r="D826" s="9">
        <f t="shared" si="19"/>
        <v>-0.55244256972114614</v>
      </c>
      <c r="E826" s="9">
        <f t="shared" si="20"/>
        <v>2.5681039766877198</v>
      </c>
      <c r="F826" s="10">
        <v>45702</v>
      </c>
      <c r="H826">
        <f t="shared" si="21"/>
        <v>703.95539180091259</v>
      </c>
      <c r="I826" s="9">
        <f t="shared" si="22"/>
        <v>-102.70690422567804</v>
      </c>
      <c r="J826" s="9">
        <f t="shared" si="23"/>
        <v>1510.6176878275032</v>
      </c>
    </row>
    <row r="827" spans="1:10" x14ac:dyDescent="0.2">
      <c r="A827" s="7">
        <v>45703</v>
      </c>
      <c r="C827">
        <f t="shared" si="18"/>
        <v>0.98494310575658472</v>
      </c>
      <c r="D827" s="9">
        <f t="shared" si="19"/>
        <v>-0.5848516762123821</v>
      </c>
      <c r="E827" s="9">
        <f t="shared" si="20"/>
        <v>2.5547378877255515</v>
      </c>
      <c r="F827" s="10">
        <v>45703</v>
      </c>
      <c r="H827">
        <f t="shared" si="21"/>
        <v>703.99342441438273</v>
      </c>
      <c r="I827" s="9">
        <f t="shared" si="22"/>
        <v>-107.55388456878745</v>
      </c>
      <c r="J827" s="9">
        <f t="shared" si="23"/>
        <v>1515.5407333975529</v>
      </c>
    </row>
    <row r="828" spans="1:10" x14ac:dyDescent="0.2">
      <c r="A828" s="7">
        <v>45704</v>
      </c>
      <c r="C828">
        <f t="shared" si="18"/>
        <v>0.98219774496897427</v>
      </c>
      <c r="D828" s="9">
        <f t="shared" si="19"/>
        <v>-0.59706114068528016</v>
      </c>
      <c r="E828" s="9">
        <f t="shared" si="20"/>
        <v>2.5614566306232289</v>
      </c>
      <c r="F828" s="10">
        <v>45704</v>
      </c>
      <c r="H828">
        <f t="shared" si="21"/>
        <v>704.03145702785321</v>
      </c>
      <c r="I828" s="9">
        <f t="shared" si="22"/>
        <v>-112.41382463481716</v>
      </c>
      <c r="J828" s="9">
        <f t="shared" si="23"/>
        <v>1520.4767386905237</v>
      </c>
    </row>
    <row r="829" spans="1:10" x14ac:dyDescent="0.2">
      <c r="A829" s="7">
        <v>45705</v>
      </c>
      <c r="C829">
        <f t="shared" si="18"/>
        <v>0.98650187562733849</v>
      </c>
      <c r="D829" s="9">
        <f t="shared" si="19"/>
        <v>-0.60224611925125249</v>
      </c>
      <c r="E829" s="9">
        <f t="shared" si="20"/>
        <v>2.5752498705059295</v>
      </c>
      <c r="F829" s="10">
        <v>45705</v>
      </c>
      <c r="H829">
        <f t="shared" si="21"/>
        <v>704.06948964132334</v>
      </c>
      <c r="I829" s="9">
        <f t="shared" si="22"/>
        <v>-117.28667451035699</v>
      </c>
      <c r="J829" s="9">
        <f t="shared" si="23"/>
        <v>1525.4256537930037</v>
      </c>
    </row>
    <row r="830" spans="1:10" x14ac:dyDescent="0.2">
      <c r="A830" s="7">
        <v>45706</v>
      </c>
      <c r="C830">
        <f t="shared" si="18"/>
        <v>1.0083891860580794</v>
      </c>
      <c r="D830" s="9">
        <f t="shared" si="19"/>
        <v>-0.58987282765162585</v>
      </c>
      <c r="E830" s="9">
        <f t="shared" si="20"/>
        <v>2.6066511997677848</v>
      </c>
      <c r="F830" s="10">
        <v>45706</v>
      </c>
      <c r="H830">
        <f t="shared" si="21"/>
        <v>704.10752225479382</v>
      </c>
      <c r="I830" s="9">
        <f t="shared" si="22"/>
        <v>-122.17238486193776</v>
      </c>
      <c r="J830" s="9">
        <f t="shared" si="23"/>
        <v>1530.3874293715253</v>
      </c>
    </row>
    <row r="831" spans="1:10" x14ac:dyDescent="0.2">
      <c r="A831" s="7">
        <v>45707</v>
      </c>
      <c r="C831">
        <f t="shared" si="18"/>
        <v>1.0051509926244806</v>
      </c>
      <c r="D831" s="9">
        <f t="shared" si="19"/>
        <v>-0.60264985470078014</v>
      </c>
      <c r="E831" s="9">
        <f t="shared" si="20"/>
        <v>2.6129518399497416</v>
      </c>
      <c r="F831" s="10">
        <v>45707</v>
      </c>
      <c r="H831">
        <f t="shared" si="21"/>
        <v>704.14555486826396</v>
      </c>
      <c r="I831" s="9">
        <f t="shared" si="22"/>
        <v>-127.07090692655038</v>
      </c>
      <c r="J831" s="9">
        <f t="shared" si="23"/>
        <v>1535.3620166630783</v>
      </c>
    </row>
    <row r="832" spans="1:10" x14ac:dyDescent="0.2">
      <c r="A832" s="7">
        <v>45708</v>
      </c>
      <c r="C832">
        <f t="shared" si="18"/>
        <v>0.99973043920671767</v>
      </c>
      <c r="D832" s="9">
        <f t="shared" si="19"/>
        <v>-0.61763396278806693</v>
      </c>
      <c r="E832" s="9">
        <f t="shared" si="20"/>
        <v>2.617094841201502</v>
      </c>
      <c r="F832" s="10">
        <v>45708</v>
      </c>
      <c r="H832">
        <f t="shared" si="21"/>
        <v>704.18358748173443</v>
      </c>
      <c r="I832" s="9">
        <f t="shared" si="22"/>
        <v>-131.98219250233308</v>
      </c>
      <c r="J832" s="9">
        <f t="shared" si="23"/>
        <v>1540.3493674658021</v>
      </c>
    </row>
    <row r="833" spans="1:10" x14ac:dyDescent="0.2">
      <c r="A833" s="7">
        <v>45709</v>
      </c>
      <c r="C833">
        <f t="shared" si="18"/>
        <v>1.0063545235537739</v>
      </c>
      <c r="D833" s="9">
        <f t="shared" si="19"/>
        <v>-0.62059806150815477</v>
      </c>
      <c r="E833" s="9">
        <f t="shared" si="20"/>
        <v>2.6333071086157025</v>
      </c>
      <c r="F833" s="10">
        <v>45709</v>
      </c>
      <c r="H833">
        <f t="shared" si="21"/>
        <v>704.22162009520457</v>
      </c>
      <c r="I833" s="9">
        <f t="shared" si="22"/>
        <v>-136.90619393943462</v>
      </c>
      <c r="J833" s="9">
        <f t="shared" si="23"/>
        <v>1545.3494341298438</v>
      </c>
    </row>
    <row r="834" spans="1:10" x14ac:dyDescent="0.2">
      <c r="A834" s="7">
        <v>45710</v>
      </c>
      <c r="C834">
        <f t="shared" si="18"/>
        <v>1.0084330652896938</v>
      </c>
      <c r="D834" s="9">
        <f t="shared" si="19"/>
        <v>-0.62813223963736409</v>
      </c>
      <c r="E834" s="9">
        <f t="shared" si="20"/>
        <v>2.6449983702167517</v>
      </c>
      <c r="F834" s="10">
        <v>45710</v>
      </c>
      <c r="H834">
        <f t="shared" si="21"/>
        <v>704.25965270867516</v>
      </c>
      <c r="I834" s="9">
        <f t="shared" si="22"/>
        <v>-141.8428641310428</v>
      </c>
      <c r="J834" s="9">
        <f t="shared" si="23"/>
        <v>1550.362169548393</v>
      </c>
    </row>
    <row r="835" spans="1:10" x14ac:dyDescent="0.2">
      <c r="A835" s="7">
        <v>45711</v>
      </c>
      <c r="C835">
        <f t="shared" si="18"/>
        <v>0.98554546756299144</v>
      </c>
      <c r="D835" s="9">
        <f t="shared" si="19"/>
        <v>-0.66073791865616116</v>
      </c>
      <c r="E835" s="9">
        <f t="shared" si="20"/>
        <v>2.6318288537821442</v>
      </c>
      <c r="F835" s="10">
        <v>45711</v>
      </c>
      <c r="H835">
        <f t="shared" si="21"/>
        <v>704.29768532214518</v>
      </c>
      <c r="I835" s="9">
        <f t="shared" si="22"/>
        <v>-146.79215650458184</v>
      </c>
      <c r="J835" s="9">
        <f t="shared" si="23"/>
        <v>1555.3875271488723</v>
      </c>
    </row>
    <row r="836" spans="1:10" x14ac:dyDescent="0.2">
      <c r="A836" s="7">
        <v>45712</v>
      </c>
      <c r="C836">
        <f t="shared" si="18"/>
        <v>0.98280010677538099</v>
      </c>
      <c r="D836" s="9">
        <f t="shared" si="19"/>
        <v>-0.67314433015220076</v>
      </c>
      <c r="E836" s="9">
        <f t="shared" si="20"/>
        <v>2.6387445437029626</v>
      </c>
      <c r="F836" s="10">
        <v>45712</v>
      </c>
      <c r="H836">
        <f t="shared" si="21"/>
        <v>704.33571793561578</v>
      </c>
      <c r="I836" s="9">
        <f t="shared" si="22"/>
        <v>-151.75402501306553</v>
      </c>
      <c r="J836" s="9">
        <f t="shared" si="23"/>
        <v>1560.4254608842971</v>
      </c>
    </row>
    <row r="837" spans="1:10" x14ac:dyDescent="0.2">
      <c r="A837" s="7">
        <v>45713</v>
      </c>
      <c r="C837">
        <f t="shared" si="18"/>
        <v>0.9871042374337452</v>
      </c>
      <c r="D837" s="9">
        <f t="shared" si="19"/>
        <v>-0.67852552268371868</v>
      </c>
      <c r="E837" s="9">
        <f t="shared" si="20"/>
        <v>2.6527339975512092</v>
      </c>
      <c r="F837" s="10">
        <v>45713</v>
      </c>
      <c r="H837">
        <f t="shared" si="21"/>
        <v>704.3737505490858</v>
      </c>
      <c r="I837" s="9">
        <f t="shared" si="22"/>
        <v>-156.72842412661942</v>
      </c>
      <c r="J837" s="9">
        <f t="shared" si="23"/>
        <v>1565.4759252247909</v>
      </c>
    </row>
    <row r="838" spans="1:10" x14ac:dyDescent="0.2">
      <c r="A838" s="7">
        <v>45714</v>
      </c>
      <c r="C838">
        <f t="shared" si="18"/>
        <v>1.0089915478644862</v>
      </c>
      <c r="D838" s="9">
        <f t="shared" si="19"/>
        <v>-0.66634772033338896</v>
      </c>
      <c r="E838" s="9">
        <f t="shared" si="20"/>
        <v>2.6843308160623613</v>
      </c>
      <c r="F838" s="10">
        <v>45714</v>
      </c>
      <c r="H838">
        <f t="shared" si="21"/>
        <v>704.41178316255639</v>
      </c>
      <c r="I838" s="9">
        <f t="shared" si="22"/>
        <v>-161.71530882414868</v>
      </c>
      <c r="J838" s="9">
        <f t="shared" si="23"/>
        <v>1570.5388751492615</v>
      </c>
    </row>
    <row r="839" spans="1:10" x14ac:dyDescent="0.2">
      <c r="A839" s="7">
        <v>45715</v>
      </c>
      <c r="C839">
        <f t="shared" si="18"/>
        <v>1.0057533544308874</v>
      </c>
      <c r="D839" s="9">
        <f t="shared" si="19"/>
        <v>-0.67931952012197061</v>
      </c>
      <c r="E839" s="9">
        <f t="shared" si="20"/>
        <v>2.6908262289837452</v>
      </c>
      <c r="F839" s="10">
        <v>45715</v>
      </c>
      <c r="H839">
        <f t="shared" si="21"/>
        <v>704.44981577602641</v>
      </c>
      <c r="I839" s="9">
        <f t="shared" si="22"/>
        <v>-166.71463458517087</v>
      </c>
      <c r="J839" s="9">
        <f t="shared" si="23"/>
        <v>1575.6142661372237</v>
      </c>
    </row>
    <row r="840" spans="1:10" x14ac:dyDescent="0.2">
      <c r="A840" s="7">
        <v>45716</v>
      </c>
      <c r="C840">
        <f t="shared" si="18"/>
        <v>1.0003328010131243</v>
      </c>
      <c r="D840" s="9">
        <f t="shared" si="19"/>
        <v>-0.69449769251270688</v>
      </c>
      <c r="E840" s="9">
        <f t="shared" si="20"/>
        <v>2.6951632945389554</v>
      </c>
      <c r="F840" s="10">
        <v>45716</v>
      </c>
      <c r="H840">
        <f t="shared" si="21"/>
        <v>704.487848389497</v>
      </c>
      <c r="I840" s="9">
        <f t="shared" si="22"/>
        <v>-171.72635738178951</v>
      </c>
      <c r="J840" s="9">
        <f t="shared" si="23"/>
        <v>1580.7020541607835</v>
      </c>
    </row>
    <row r="841" spans="1:10" x14ac:dyDescent="0.2">
      <c r="A841" s="7">
        <v>45717</v>
      </c>
      <c r="C841">
        <f t="shared" si="18"/>
        <v>1.0069568853601805</v>
      </c>
      <c r="D841" s="9">
        <f t="shared" si="19"/>
        <v>-0.69765515504410502</v>
      </c>
      <c r="E841" s="9">
        <f t="shared" si="20"/>
        <v>2.7115689257644657</v>
      </c>
      <c r="F841" s="10">
        <v>45717</v>
      </c>
      <c r="H841">
        <f t="shared" si="21"/>
        <v>704.52588100296703</v>
      </c>
      <c r="I841" s="9">
        <f t="shared" si="22"/>
        <v>-176.75043367082412</v>
      </c>
      <c r="J841" s="9">
        <f t="shared" si="23"/>
        <v>1585.8021956767582</v>
      </c>
    </row>
    <row r="842" spans="1:10" x14ac:dyDescent="0.2">
      <c r="A842" s="7">
        <v>45718</v>
      </c>
      <c r="C842">
        <f t="shared" si="18"/>
        <v>1.0090354270961004</v>
      </c>
      <c r="D842" s="9">
        <f t="shared" si="19"/>
        <v>-0.70538200430866427</v>
      </c>
      <c r="E842" s="9">
        <f t="shared" si="20"/>
        <v>2.723452858500865</v>
      </c>
      <c r="F842" s="10">
        <v>45718</v>
      </c>
      <c r="H842">
        <f t="shared" si="21"/>
        <v>704.56391361643762</v>
      </c>
      <c r="I842" s="9">
        <f t="shared" si="22"/>
        <v>-181.78682038607906</v>
      </c>
      <c r="J842" s="9">
        <f t="shared" si="23"/>
        <v>1590.9146476189544</v>
      </c>
    </row>
    <row r="843" spans="1:10" x14ac:dyDescent="0.2">
      <c r="A843" s="7">
        <v>45719</v>
      </c>
      <c r="C843">
        <f t="shared" si="18"/>
        <v>0.98614782936939815</v>
      </c>
      <c r="D843" s="9">
        <f t="shared" si="19"/>
        <v>-0.738178598435834</v>
      </c>
      <c r="E843" s="9">
        <f t="shared" si="20"/>
        <v>2.7104742571746305</v>
      </c>
      <c r="F843" s="10">
        <v>45719</v>
      </c>
      <c r="H843">
        <f t="shared" si="21"/>
        <v>704.60194622990775</v>
      </c>
      <c r="I843" s="9">
        <f t="shared" si="22"/>
        <v>-186.83547493076173</v>
      </c>
      <c r="J843" s="9">
        <f t="shared" si="23"/>
        <v>1596.0393673905774</v>
      </c>
    </row>
    <row r="844" spans="1:10" x14ac:dyDescent="0.2">
      <c r="A844" s="7">
        <v>45720</v>
      </c>
      <c r="C844">
        <f t="shared" si="18"/>
        <v>0.9834024685817877</v>
      </c>
      <c r="D844" s="9">
        <f t="shared" si="19"/>
        <v>-0.75077633712153213</v>
      </c>
      <c r="E844" s="9">
        <f t="shared" si="20"/>
        <v>2.7175812742851075</v>
      </c>
      <c r="F844" s="10">
        <v>45720</v>
      </c>
      <c r="H844">
        <f t="shared" si="21"/>
        <v>704.63997884337823</v>
      </c>
      <c r="I844" s="9">
        <f t="shared" si="22"/>
        <v>-191.89635517003353</v>
      </c>
      <c r="J844" s="9">
        <f t="shared" si="23"/>
        <v>1601.17631285679</v>
      </c>
    </row>
    <row r="845" spans="1:10" x14ac:dyDescent="0.2">
      <c r="A845" s="7">
        <v>45721</v>
      </c>
      <c r="C845">
        <f t="shared" si="18"/>
        <v>0.98770659924015192</v>
      </c>
      <c r="D845" s="9">
        <f t="shared" si="19"/>
        <v>-0.75634818661848757</v>
      </c>
      <c r="E845" s="9">
        <f t="shared" si="20"/>
        <v>2.7317613850987916</v>
      </c>
      <c r="F845" s="10">
        <v>45721</v>
      </c>
      <c r="H845">
        <f t="shared" si="21"/>
        <v>704.67801145684837</v>
      </c>
      <c r="I845" s="9">
        <f t="shared" si="22"/>
        <v>-196.96941942370631</v>
      </c>
      <c r="J845" s="9">
        <f t="shared" si="23"/>
        <v>1606.325442337403</v>
      </c>
    </row>
    <row r="846" spans="1:10" x14ac:dyDescent="0.2">
      <c r="A846" s="7">
        <v>45722</v>
      </c>
      <c r="C846">
        <f t="shared" si="18"/>
        <v>1.0095939096708928</v>
      </c>
      <c r="D846" s="9">
        <f t="shared" si="19"/>
        <v>-0.74436037834147695</v>
      </c>
      <c r="E846" s="9">
        <f t="shared" si="20"/>
        <v>2.7635481976832628</v>
      </c>
      <c r="F846" s="10">
        <v>45722</v>
      </c>
      <c r="H846">
        <f t="shared" si="21"/>
        <v>704.71604407031884</v>
      </c>
      <c r="I846" s="9">
        <f t="shared" si="22"/>
        <v>-202.05462645906573</v>
      </c>
      <c r="J846" s="9">
        <f t="shared" si="23"/>
        <v>1611.4867145997034</v>
      </c>
    </row>
    <row r="847" spans="1:10" x14ac:dyDescent="0.2">
      <c r="A847" s="7">
        <v>45723</v>
      </c>
      <c r="C847">
        <f t="shared" si="18"/>
        <v>1.006355716237294</v>
      </c>
      <c r="D847" s="9">
        <f t="shared" si="19"/>
        <v>-0.75752151652698929</v>
      </c>
      <c r="E847" s="9">
        <f t="shared" si="20"/>
        <v>2.7702329490015773</v>
      </c>
      <c r="F847" s="10">
        <v>45723</v>
      </c>
      <c r="H847">
        <f t="shared" si="21"/>
        <v>704.75407668378898</v>
      </c>
      <c r="I847" s="9">
        <f t="shared" si="22"/>
        <v>-207.15193548383502</v>
      </c>
      <c r="J847" s="9">
        <f t="shared" si="23"/>
        <v>1616.6600888514131</v>
      </c>
    </row>
    <row r="848" spans="1:10" x14ac:dyDescent="0.2">
      <c r="A848" s="7">
        <v>45724</v>
      </c>
      <c r="C848">
        <f t="shared" si="18"/>
        <v>1.0009351628195311</v>
      </c>
      <c r="D848" s="9">
        <f t="shared" si="19"/>
        <v>-0.77288837873976823</v>
      </c>
      <c r="E848" s="9">
        <f t="shared" si="20"/>
        <v>2.7747587043788302</v>
      </c>
      <c r="F848" s="10">
        <v>45724</v>
      </c>
      <c r="H848">
        <f t="shared" si="21"/>
        <v>704.79210929725946</v>
      </c>
      <c r="I848" s="9">
        <f t="shared" si="22"/>
        <v>-212.26130613926057</v>
      </c>
      <c r="J848" s="9">
        <f t="shared" si="23"/>
        <v>1621.8455247337795</v>
      </c>
    </row>
    <row r="849" spans="1:10" x14ac:dyDescent="0.2">
      <c r="A849" s="7">
        <v>45725</v>
      </c>
      <c r="C849">
        <f t="shared" si="18"/>
        <v>1.0075592471665873</v>
      </c>
      <c r="D849" s="9">
        <f t="shared" si="19"/>
        <v>-0.77623388950769612</v>
      </c>
      <c r="E849" s="9">
        <f t="shared" si="20"/>
        <v>2.7913523838408709</v>
      </c>
      <c r="F849" s="10">
        <v>45725</v>
      </c>
      <c r="H849">
        <f t="shared" si="21"/>
        <v>704.83014191072959</v>
      </c>
      <c r="I849" s="9">
        <f t="shared" si="22"/>
        <v>-217.38269849333244</v>
      </c>
      <c r="J849" s="9">
        <f t="shared" si="23"/>
        <v>1627.0429823147915</v>
      </c>
    </row>
    <row r="850" spans="1:10" x14ac:dyDescent="0.2">
      <c r="A850" s="7">
        <v>45726</v>
      </c>
      <c r="C850">
        <f t="shared" si="18"/>
        <v>1.0096377889025072</v>
      </c>
      <c r="D850" s="9">
        <f t="shared" si="19"/>
        <v>-0.7841481523025815</v>
      </c>
      <c r="E850" s="9">
        <f t="shared" si="20"/>
        <v>2.8034237301075962</v>
      </c>
      <c r="F850" s="10">
        <v>45726</v>
      </c>
      <c r="H850">
        <f t="shared" si="21"/>
        <v>704.86817452420007</v>
      </c>
      <c r="I850" s="9">
        <f t="shared" si="22"/>
        <v>-222.51607303412379</v>
      </c>
      <c r="J850" s="9">
        <f t="shared" si="23"/>
        <v>1632.2524220825239</v>
      </c>
    </row>
    <row r="851" spans="1:10" x14ac:dyDescent="0.2">
      <c r="A851" s="7">
        <v>45727</v>
      </c>
      <c r="C851">
        <f t="shared" ref="C851:C882" si="24">_xlfn.FORECAST.ETS(A851,$B$2:$B$722,$A$2:$A$722,1,1)</f>
        <v>0.98675019117580487</v>
      </c>
      <c r="D851" s="9">
        <f t="shared" ref="D851:D882" si="25">C851-_xlfn.FORECAST.ETS.CONFINT(A851,$B$2:$B$722,$A$2:$A$722,0.95,1,1)</f>
        <v>-0.81713048766757435</v>
      </c>
      <c r="E851" s="9">
        <f t="shared" ref="E851:E882" si="26">C851+_xlfn.FORECAST.ETS.CONFINT(A851,$B$2:$B$722,$A$2:$A$722,0.95,1,1)</f>
        <v>2.790630870019184</v>
      </c>
      <c r="F851" s="10">
        <v>45727</v>
      </c>
      <c r="H851">
        <f t="shared" ref="H851:H882" si="27">_xlfn.FORECAST.ETS(F851,$G$2:$G$722,$F$2:$F$722,1,1)</f>
        <v>704.90620713767021</v>
      </c>
      <c r="I851" s="9">
        <f t="shared" ref="I851:I882" si="28">H851-_xlfn.FORECAST.ETS.CONFINT(F851,$G$2:$G$722,$F$2:$F$722,0.95,1,1)</f>
        <v>-227.66139066325729</v>
      </c>
      <c r="J851" s="9">
        <f t="shared" ref="J851:J882" si="29">H851+_xlfn.FORECAST.ETS.CONFINT(F851,$G$2:$G$722,$F$2:$F$722,0.95,1,1)</f>
        <v>1637.4738049385978</v>
      </c>
    </row>
    <row r="852" spans="1:10" x14ac:dyDescent="0.2">
      <c r="A852" s="7">
        <v>45728</v>
      </c>
      <c r="C852">
        <f t="shared" si="24"/>
        <v>0.98400483038819442</v>
      </c>
      <c r="D852" s="9">
        <f t="shared" si="25"/>
        <v>-0.8299144082064781</v>
      </c>
      <c r="E852" s="9">
        <f t="shared" si="26"/>
        <v>2.7979240689828671</v>
      </c>
      <c r="F852" s="10">
        <v>45728</v>
      </c>
      <c r="H852">
        <f t="shared" si="27"/>
        <v>704.9442397511408</v>
      </c>
      <c r="I852" s="9">
        <f t="shared" si="28"/>
        <v>-232.81861268948853</v>
      </c>
      <c r="J852" s="9">
        <f t="shared" si="29"/>
        <v>1642.7070921917702</v>
      </c>
    </row>
    <row r="853" spans="1:10" x14ac:dyDescent="0.2">
      <c r="A853" s="7">
        <v>45729</v>
      </c>
      <c r="C853">
        <f t="shared" si="24"/>
        <v>0.98830896104655852</v>
      </c>
      <c r="D853" s="9">
        <f t="shared" si="25"/>
        <v>-0.83567182460923828</v>
      </c>
      <c r="E853" s="9">
        <f t="shared" si="26"/>
        <v>2.8122897467023553</v>
      </c>
      <c r="F853" s="10">
        <v>45729</v>
      </c>
      <c r="H853">
        <f t="shared" si="27"/>
        <v>704.98227236461082</v>
      </c>
      <c r="I853" s="9">
        <f t="shared" si="28"/>
        <v>-237.98770082241094</v>
      </c>
      <c r="J853" s="9">
        <f t="shared" si="29"/>
        <v>1647.9522455516326</v>
      </c>
    </row>
    <row r="854" spans="1:10" x14ac:dyDescent="0.2">
      <c r="A854" s="7">
        <v>45730</v>
      </c>
      <c r="C854">
        <f t="shared" si="24"/>
        <v>1.0101962714772994</v>
      </c>
      <c r="D854" s="9">
        <f t="shared" si="25"/>
        <v>-0.8238689747528789</v>
      </c>
      <c r="E854" s="9">
        <f t="shared" si="26"/>
        <v>2.8442615177074777</v>
      </c>
      <c r="F854" s="10">
        <v>45730</v>
      </c>
      <c r="H854">
        <f t="shared" si="27"/>
        <v>705.02030497808141</v>
      </c>
      <c r="I854" s="9">
        <f t="shared" si="28"/>
        <v>-243.16861716627068</v>
      </c>
      <c r="J854" s="9">
        <f t="shared" si="29"/>
        <v>1653.2092271224335</v>
      </c>
    </row>
    <row r="855" spans="1:10" x14ac:dyDescent="0.2">
      <c r="A855" s="7">
        <v>45731</v>
      </c>
      <c r="C855">
        <f t="shared" si="24"/>
        <v>1.0069580780437006</v>
      </c>
      <c r="D855" s="9">
        <f t="shared" si="25"/>
        <v>-0.83721446923577969</v>
      </c>
      <c r="E855" s="9">
        <f t="shared" si="26"/>
        <v>2.8511306253231812</v>
      </c>
      <c r="F855" s="10">
        <v>45731</v>
      </c>
      <c r="H855">
        <f t="shared" si="27"/>
        <v>705.05833759155144</v>
      </c>
      <c r="I855" s="9">
        <f t="shared" si="28"/>
        <v>-248.36132421390357</v>
      </c>
      <c r="J855" s="9">
        <f t="shared" si="29"/>
        <v>1658.4779993970064</v>
      </c>
    </row>
    <row r="856" spans="1:10" x14ac:dyDescent="0.2">
      <c r="A856" s="7">
        <v>45732</v>
      </c>
      <c r="C856">
        <f t="shared" si="24"/>
        <v>1.0015375246259377</v>
      </c>
      <c r="D856" s="9">
        <f t="shared" si="25"/>
        <v>-0.8527650918860592</v>
      </c>
      <c r="E856" s="9">
        <f t="shared" si="26"/>
        <v>2.8558401411379348</v>
      </c>
      <c r="F856" s="10">
        <v>45732</v>
      </c>
      <c r="H856">
        <f t="shared" si="27"/>
        <v>705.09637020502203</v>
      </c>
      <c r="I856" s="9">
        <f t="shared" si="28"/>
        <v>-253.56578484077272</v>
      </c>
      <c r="J856" s="9">
        <f t="shared" si="29"/>
        <v>1663.7585252508168</v>
      </c>
    </row>
    <row r="857" spans="1:10" x14ac:dyDescent="0.2">
      <c r="A857" s="7">
        <v>45733</v>
      </c>
      <c r="C857">
        <f t="shared" si="24"/>
        <v>1.0081616089729939</v>
      </c>
      <c r="D857" s="9">
        <f t="shared" si="25"/>
        <v>-0.85629377339826163</v>
      </c>
      <c r="E857" s="9">
        <f t="shared" si="26"/>
        <v>2.8726169913442492</v>
      </c>
      <c r="F857" s="10">
        <v>45733</v>
      </c>
      <c r="H857">
        <f t="shared" si="27"/>
        <v>705.13440281849205</v>
      </c>
      <c r="I857" s="9">
        <f t="shared" si="28"/>
        <v>-258.78196229912567</v>
      </c>
      <c r="J857" s="9">
        <f t="shared" si="29"/>
        <v>1669.0507679361099</v>
      </c>
    </row>
    <row r="858" spans="1:10" x14ac:dyDescent="0.2">
      <c r="A858" s="7">
        <v>45734</v>
      </c>
      <c r="C858">
        <f t="shared" si="24"/>
        <v>1.0102401507089138</v>
      </c>
      <c r="D858" s="9">
        <f t="shared" si="25"/>
        <v>-0.86439062331591754</v>
      </c>
      <c r="E858" s="9">
        <f t="shared" si="26"/>
        <v>2.884870924733745</v>
      </c>
      <c r="F858" s="10">
        <v>45734</v>
      </c>
      <c r="H858">
        <f t="shared" si="27"/>
        <v>705.17243543196264</v>
      </c>
      <c r="I858" s="9">
        <f t="shared" si="28"/>
        <v>-264.00982021224934</v>
      </c>
      <c r="J858" s="9">
        <f t="shared" si="29"/>
        <v>1674.3546910761747</v>
      </c>
    </row>
    <row r="859" spans="1:10" x14ac:dyDescent="0.2">
      <c r="A859" s="7">
        <v>45735</v>
      </c>
      <c r="C859">
        <f t="shared" si="24"/>
        <v>0.98735255298221158</v>
      </c>
      <c r="D859" s="9">
        <f t="shared" si="25"/>
        <v>-0.89755395125620807</v>
      </c>
      <c r="E859" s="9">
        <f t="shared" si="26"/>
        <v>2.8722590572206315</v>
      </c>
      <c r="F859" s="10">
        <v>45735</v>
      </c>
      <c r="H859">
        <f t="shared" si="27"/>
        <v>705.21046804543278</v>
      </c>
      <c r="I859" s="9">
        <f t="shared" si="28"/>
        <v>-269.24932256883858</v>
      </c>
      <c r="J859" s="9">
        <f t="shared" si="29"/>
        <v>1679.6702586597041</v>
      </c>
    </row>
    <row r="860" spans="1:10" x14ac:dyDescent="0.2">
      <c r="A860" s="7">
        <v>45736</v>
      </c>
      <c r="C860">
        <f t="shared" si="24"/>
        <v>0.98460719219460102</v>
      </c>
      <c r="D860" s="9">
        <f t="shared" si="25"/>
        <v>-0.91051932614649933</v>
      </c>
      <c r="E860" s="9">
        <f t="shared" si="26"/>
        <v>2.8797337105357013</v>
      </c>
      <c r="F860" s="10">
        <v>45736</v>
      </c>
      <c r="H860">
        <f t="shared" si="27"/>
        <v>705.24850065890325</v>
      </c>
      <c r="I860" s="9">
        <f t="shared" si="28"/>
        <v>-274.50043371745789</v>
      </c>
      <c r="J860" s="9">
        <f t="shared" si="29"/>
        <v>1684.9974350352645</v>
      </c>
    </row>
    <row r="861" spans="1:10" x14ac:dyDescent="0.2">
      <c r="A861" s="7">
        <v>45737</v>
      </c>
      <c r="C861">
        <f t="shared" si="24"/>
        <v>0.98891132285296535</v>
      </c>
      <c r="D861" s="9">
        <f t="shared" si="25"/>
        <v>-0.91645763071815356</v>
      </c>
      <c r="E861" s="9">
        <f t="shared" si="26"/>
        <v>2.8942802764240843</v>
      </c>
      <c r="F861" s="10">
        <v>45737</v>
      </c>
      <c r="H861">
        <f t="shared" si="27"/>
        <v>705.28653327237339</v>
      </c>
      <c r="I861" s="9">
        <f t="shared" si="28"/>
        <v>-279.76311836111427</v>
      </c>
      <c r="J861" s="9">
        <f t="shared" si="29"/>
        <v>1690.336184905861</v>
      </c>
    </row>
    <row r="862" spans="1:10" x14ac:dyDescent="0.2">
      <c r="A862" s="7">
        <v>45738</v>
      </c>
      <c r="C862">
        <f t="shared" si="24"/>
        <v>1.0107986332837062</v>
      </c>
      <c r="D862" s="9">
        <f t="shared" si="25"/>
        <v>-0.90483510856032145</v>
      </c>
      <c r="E862" s="9">
        <f t="shared" si="26"/>
        <v>2.9264323751277339</v>
      </c>
      <c r="F862" s="10">
        <v>45738</v>
      </c>
      <c r="H862">
        <f t="shared" si="27"/>
        <v>705.32456588584387</v>
      </c>
      <c r="I862" s="9">
        <f t="shared" si="28"/>
        <v>-285.03734155191933</v>
      </c>
      <c r="J862" s="9">
        <f t="shared" si="29"/>
        <v>1695.6864733236071</v>
      </c>
    </row>
    <row r="863" spans="1:10" x14ac:dyDescent="0.2">
      <c r="A863" s="7">
        <v>45739</v>
      </c>
      <c r="C863">
        <f t="shared" si="24"/>
        <v>1.0075604398501072</v>
      </c>
      <c r="D863" s="9">
        <f t="shared" si="25"/>
        <v>-0.91836037589687969</v>
      </c>
      <c r="E863" s="9">
        <f t="shared" si="26"/>
        <v>2.9334812555970942</v>
      </c>
      <c r="F863" s="10">
        <v>45739</v>
      </c>
      <c r="H863">
        <f t="shared" si="27"/>
        <v>705.362598499314</v>
      </c>
      <c r="I863" s="9">
        <f t="shared" si="28"/>
        <v>-290.3230686858567</v>
      </c>
      <c r="J863" s="9">
        <f t="shared" si="29"/>
        <v>1701.0482656844847</v>
      </c>
    </row>
    <row r="864" spans="1:10" x14ac:dyDescent="0.2">
      <c r="A864" s="7">
        <v>45740</v>
      </c>
      <c r="C864">
        <f t="shared" si="24"/>
        <v>1.0021398864323445</v>
      </c>
      <c r="D864" s="9">
        <f t="shared" si="25"/>
        <v>-0.93409022209639114</v>
      </c>
      <c r="E864" s="9">
        <f t="shared" si="26"/>
        <v>2.9383699949610804</v>
      </c>
      <c r="F864" s="10">
        <v>45740</v>
      </c>
      <c r="H864">
        <f t="shared" si="27"/>
        <v>705.40063111278448</v>
      </c>
      <c r="I864" s="9">
        <f t="shared" si="28"/>
        <v>-295.62026549763675</v>
      </c>
      <c r="J864" s="9">
        <f t="shared" si="29"/>
        <v>1706.4215277232056</v>
      </c>
    </row>
    <row r="865" spans="1:10" x14ac:dyDescent="0.2">
      <c r="A865" s="7">
        <v>45741</v>
      </c>
      <c r="C865">
        <f t="shared" si="24"/>
        <v>1.0087639707794005</v>
      </c>
      <c r="D865" s="9">
        <f t="shared" si="25"/>
        <v>-0.93779758331033869</v>
      </c>
      <c r="E865" s="9">
        <f t="shared" si="26"/>
        <v>2.9553255248691395</v>
      </c>
      <c r="F865" s="10">
        <v>45741</v>
      </c>
      <c r="H865">
        <f t="shared" si="27"/>
        <v>705.43866372625462</v>
      </c>
      <c r="I865" s="9">
        <f t="shared" si="28"/>
        <v>-300.92889805565176</v>
      </c>
      <c r="J865" s="9">
        <f t="shared" si="29"/>
        <v>1711.8062255081609</v>
      </c>
    </row>
    <row r="866" spans="1:10" x14ac:dyDescent="0.2">
      <c r="A866" s="7">
        <v>45742</v>
      </c>
      <c r="C866">
        <f t="shared" si="24"/>
        <v>1.0108425125153206</v>
      </c>
      <c r="D866" s="9">
        <f t="shared" si="25"/>
        <v>-0.94607257445719584</v>
      </c>
      <c r="E866" s="9">
        <f t="shared" si="26"/>
        <v>2.9677575994878369</v>
      </c>
      <c r="F866" s="10">
        <v>45742</v>
      </c>
      <c r="H866">
        <f t="shared" si="27"/>
        <v>705.47669633972509</v>
      </c>
      <c r="I866" s="9">
        <f t="shared" si="28"/>
        <v>-306.24893275701595</v>
      </c>
      <c r="J866" s="9">
        <f t="shared" si="29"/>
        <v>1717.2023254364663</v>
      </c>
    </row>
    <row r="867" spans="1:10" x14ac:dyDescent="0.2">
      <c r="A867" s="7">
        <v>45743</v>
      </c>
      <c r="C867">
        <f t="shared" si="24"/>
        <v>0.98795491478861819</v>
      </c>
      <c r="D867" s="9">
        <f t="shared" si="25"/>
        <v>-0.97941252131057133</v>
      </c>
      <c r="E867" s="9">
        <f t="shared" si="26"/>
        <v>2.9553223508878075</v>
      </c>
      <c r="F867" s="10">
        <v>45743</v>
      </c>
      <c r="H867">
        <f t="shared" si="27"/>
        <v>705.51472895319523</v>
      </c>
      <c r="I867" s="9">
        <f t="shared" si="28"/>
        <v>-311.58033632270042</v>
      </c>
      <c r="J867" s="9">
        <f t="shared" si="29"/>
        <v>1722.6097942290908</v>
      </c>
    </row>
    <row r="868" spans="1:10" x14ac:dyDescent="0.2">
      <c r="A868" s="7">
        <v>45744</v>
      </c>
      <c r="C868">
        <f t="shared" si="24"/>
        <v>0.98520955400100785</v>
      </c>
      <c r="D868" s="9">
        <f t="shared" si="25"/>
        <v>-0.99255499205252684</v>
      </c>
      <c r="E868" s="9">
        <f t="shared" si="26"/>
        <v>2.9629741000545424</v>
      </c>
      <c r="F868" s="10">
        <v>45744</v>
      </c>
      <c r="H868">
        <f t="shared" si="27"/>
        <v>705.55276156666582</v>
      </c>
      <c r="I868" s="9">
        <f t="shared" si="28"/>
        <v>-316.92307579275064</v>
      </c>
      <c r="J868" s="9">
        <f t="shared" si="29"/>
        <v>1728.0285989260824</v>
      </c>
    </row>
    <row r="869" spans="1:10" x14ac:dyDescent="0.2">
      <c r="A869" s="7">
        <v>45745</v>
      </c>
      <c r="C869">
        <f t="shared" si="24"/>
        <v>0.98951368465937195</v>
      </c>
      <c r="D869" s="9">
        <f t="shared" si="25"/>
        <v>-0.99866986944178615</v>
      </c>
      <c r="E869" s="9">
        <f t="shared" si="26"/>
        <v>2.9776972387605301</v>
      </c>
      <c r="F869" s="10">
        <v>45745</v>
      </c>
      <c r="H869">
        <f t="shared" si="27"/>
        <v>705.59079418013584</v>
      </c>
      <c r="I869" s="9">
        <f t="shared" si="28"/>
        <v>-322.27711852159632</v>
      </c>
      <c r="J869" s="9">
        <f t="shared" si="29"/>
        <v>1733.458706881868</v>
      </c>
    </row>
    <row r="870" spans="1:10" x14ac:dyDescent="0.2">
      <c r="A870" s="7">
        <v>45746</v>
      </c>
      <c r="C870">
        <f t="shared" si="24"/>
        <v>1.0114009950901128</v>
      </c>
      <c r="D870" s="9">
        <f t="shared" si="25"/>
        <v>-0.9872234021319708</v>
      </c>
      <c r="E870" s="9">
        <f t="shared" si="26"/>
        <v>3.0100253923121967</v>
      </c>
      <c r="F870" s="10">
        <v>45746</v>
      </c>
      <c r="H870">
        <f t="shared" si="27"/>
        <v>705.62882679360644</v>
      </c>
      <c r="I870" s="9">
        <f t="shared" si="28"/>
        <v>-327.64243217343812</v>
      </c>
      <c r="J870" s="9">
        <f t="shared" si="29"/>
        <v>1738.9000857606511</v>
      </c>
    </row>
    <row r="871" spans="1:10" x14ac:dyDescent="0.2">
      <c r="A871" s="7">
        <v>45747</v>
      </c>
      <c r="C871">
        <f t="shared" si="24"/>
        <v>1.0081628016565141</v>
      </c>
      <c r="D871" s="9">
        <f t="shared" si="25"/>
        <v>-1.0009242113365375</v>
      </c>
      <c r="E871" s="9">
        <f t="shared" si="26"/>
        <v>3.0172498146495657</v>
      </c>
      <c r="F871" s="10">
        <v>45747</v>
      </c>
      <c r="H871">
        <f t="shared" si="27"/>
        <v>705.66685940707646</v>
      </c>
      <c r="I871" s="9">
        <f t="shared" si="28"/>
        <v>-333.0189847177254</v>
      </c>
      <c r="J871" s="9">
        <f t="shared" si="29"/>
        <v>1744.3527035318784</v>
      </c>
    </row>
    <row r="872" spans="1:10" x14ac:dyDescent="0.2">
      <c r="A872" s="7">
        <v>45748</v>
      </c>
      <c r="C872">
        <f t="shared" si="24"/>
        <v>1.0027422482387511</v>
      </c>
      <c r="D872" s="9">
        <f t="shared" si="25"/>
        <v>-1.0168290913400868</v>
      </c>
      <c r="E872" s="9">
        <f t="shared" si="26"/>
        <v>3.0223135878175889</v>
      </c>
      <c r="F872" s="10">
        <v>45748</v>
      </c>
      <c r="H872">
        <f t="shared" si="27"/>
        <v>705.70489202054705</v>
      </c>
      <c r="I872" s="9">
        <f t="shared" si="28"/>
        <v>-338.40674442470504</v>
      </c>
      <c r="J872" s="9">
        <f t="shared" si="29"/>
        <v>1749.8165284657991</v>
      </c>
    </row>
    <row r="873" spans="1:10" x14ac:dyDescent="0.2">
      <c r="A873" s="7">
        <v>45749</v>
      </c>
      <c r="C873">
        <f t="shared" si="24"/>
        <v>1.0093663325858073</v>
      </c>
      <c r="D873" s="9">
        <f t="shared" si="25"/>
        <v>-1.0207109831379135</v>
      </c>
      <c r="E873" s="9">
        <f t="shared" si="26"/>
        <v>3.0394436483095282</v>
      </c>
      <c r="F873" s="10">
        <v>45749</v>
      </c>
      <c r="H873">
        <f t="shared" si="27"/>
        <v>705.74292463401707</v>
      </c>
      <c r="I873" s="9">
        <f t="shared" si="28"/>
        <v>-343.80567986106189</v>
      </c>
      <c r="J873" s="9">
        <f t="shared" si="29"/>
        <v>1755.291529129096</v>
      </c>
    </row>
    <row r="874" spans="1:10" x14ac:dyDescent="0.2">
      <c r="A874" s="7">
        <v>45750</v>
      </c>
      <c r="C874">
        <f t="shared" si="24"/>
        <v>1.0114448743217272</v>
      </c>
      <c r="D874" s="9">
        <f t="shared" si="25"/>
        <v>-1.0291600064213744</v>
      </c>
      <c r="E874" s="9">
        <f t="shared" si="26"/>
        <v>3.0520497550648287</v>
      </c>
      <c r="F874" s="10">
        <v>45750</v>
      </c>
      <c r="H874">
        <f t="shared" si="27"/>
        <v>705.78095724748766</v>
      </c>
      <c r="I874" s="9">
        <f t="shared" si="28"/>
        <v>-349.21575988562392</v>
      </c>
      <c r="J874" s="9">
        <f t="shared" si="29"/>
        <v>1760.7776743805994</v>
      </c>
    </row>
    <row r="875" spans="1:10" x14ac:dyDescent="0.2">
      <c r="A875" s="7">
        <v>45751</v>
      </c>
      <c r="C875">
        <f t="shared" si="24"/>
        <v>0.98855727659502501</v>
      </c>
      <c r="D875" s="9">
        <f t="shared" si="25"/>
        <v>-1.0626725302677864</v>
      </c>
      <c r="E875" s="9">
        <f t="shared" si="26"/>
        <v>3.0397870834578367</v>
      </c>
      <c r="F875" s="10">
        <v>45751</v>
      </c>
      <c r="H875">
        <f t="shared" si="27"/>
        <v>705.81898986095769</v>
      </c>
      <c r="I875" s="9">
        <f t="shared" si="28"/>
        <v>-354.63695364515627</v>
      </c>
      <c r="J875" s="9">
        <f t="shared" si="29"/>
        <v>1766.2749333670718</v>
      </c>
    </row>
    <row r="876" spans="1:10" x14ac:dyDescent="0.2">
      <c r="A876" s="7">
        <v>45752</v>
      </c>
      <c r="C876">
        <f t="shared" si="24"/>
        <v>0.98581191580741445</v>
      </c>
      <c r="D876" s="9">
        <f t="shared" si="25"/>
        <v>-1.0759880652315639</v>
      </c>
      <c r="E876" s="9">
        <f t="shared" si="26"/>
        <v>3.0476118968463926</v>
      </c>
      <c r="F876" s="10">
        <v>45752</v>
      </c>
      <c r="H876">
        <f t="shared" si="27"/>
        <v>705.85702247442828</v>
      </c>
      <c r="I876" s="9">
        <f t="shared" si="28"/>
        <v>-360.06923057021936</v>
      </c>
      <c r="J876" s="9">
        <f t="shared" si="29"/>
        <v>1771.7832755190759</v>
      </c>
    </row>
    <row r="877" spans="1:10" x14ac:dyDescent="0.2">
      <c r="A877" s="7">
        <v>45753</v>
      </c>
      <c r="C877">
        <f t="shared" si="24"/>
        <v>0.99011604646577855</v>
      </c>
      <c r="D877" s="9">
        <f t="shared" si="25"/>
        <v>-1.0822755221058509</v>
      </c>
      <c r="E877" s="9">
        <f t="shared" si="26"/>
        <v>3.0625076150374078</v>
      </c>
      <c r="F877" s="10">
        <v>45753</v>
      </c>
      <c r="H877">
        <f t="shared" si="27"/>
        <v>705.89505508789841</v>
      </c>
      <c r="I877" s="9">
        <f t="shared" si="28"/>
        <v>-365.51256037110954</v>
      </c>
      <c r="J877" s="9">
        <f t="shared" si="29"/>
        <v>1777.3026705469065</v>
      </c>
    </row>
    <row r="878" spans="1:10" x14ac:dyDescent="0.2">
      <c r="A878" s="7">
        <v>45754</v>
      </c>
      <c r="C878">
        <f t="shared" si="24"/>
        <v>1.0120033568965197</v>
      </c>
      <c r="D878" s="9">
        <f t="shared" si="25"/>
        <v>-1.0710011540486015</v>
      </c>
      <c r="E878" s="9">
        <f t="shared" si="26"/>
        <v>3.0950078678416411</v>
      </c>
      <c r="F878" s="10">
        <v>45754</v>
      </c>
      <c r="H878">
        <f t="shared" si="27"/>
        <v>705.93308770136889</v>
      </c>
      <c r="I878" s="9">
        <f t="shared" si="28"/>
        <v>-370.96691303386285</v>
      </c>
      <c r="J878" s="9">
        <f t="shared" si="29"/>
        <v>1782.8330884366005</v>
      </c>
    </row>
    <row r="879" spans="1:10" x14ac:dyDescent="0.2">
      <c r="A879" s="7">
        <v>45755</v>
      </c>
      <c r="C879">
        <f t="shared" si="24"/>
        <v>1.0087651634629207</v>
      </c>
      <c r="D879" s="9">
        <f t="shared" si="25"/>
        <v>-1.0848735867127381</v>
      </c>
      <c r="E879" s="9">
        <f t="shared" si="26"/>
        <v>3.1024039136385797</v>
      </c>
      <c r="F879" s="10">
        <v>45755</v>
      </c>
      <c r="H879">
        <f t="shared" si="27"/>
        <v>705.97112031483903</v>
      </c>
      <c r="I879" s="9">
        <f t="shared" si="28"/>
        <v>-376.43225881633862</v>
      </c>
      <c r="J879" s="9">
        <f t="shared" si="29"/>
        <v>1788.3744994460167</v>
      </c>
    </row>
    <row r="880" spans="1:10" x14ac:dyDescent="0.2">
      <c r="A880" s="7">
        <v>45756</v>
      </c>
      <c r="C880">
        <f t="shared" si="24"/>
        <v>1.003344610045158</v>
      </c>
      <c r="D880" s="9">
        <f t="shared" si="25"/>
        <v>-1.1009496187586054</v>
      </c>
      <c r="E880" s="9">
        <f t="shared" si="26"/>
        <v>3.1076388388489216</v>
      </c>
      <c r="F880" s="10">
        <v>45756</v>
      </c>
      <c r="H880">
        <f t="shared" si="27"/>
        <v>706.0091529283095</v>
      </c>
      <c r="I880" s="9">
        <f t="shared" si="28"/>
        <v>-381.90856824436378</v>
      </c>
      <c r="J880" s="9">
        <f t="shared" si="29"/>
        <v>1793.9268741009828</v>
      </c>
    </row>
    <row r="881" spans="1:10" x14ac:dyDescent="0.2">
      <c r="A881" s="7">
        <v>45757</v>
      </c>
      <c r="C881">
        <f t="shared" si="24"/>
        <v>1.0099686943922139</v>
      </c>
      <c r="D881" s="9">
        <f t="shared" si="25"/>
        <v>-1.105002195494653</v>
      </c>
      <c r="E881" s="9">
        <f t="shared" si="26"/>
        <v>3.1249395842790806</v>
      </c>
      <c r="F881" s="10">
        <v>45757</v>
      </c>
      <c r="H881">
        <f t="shared" si="27"/>
        <v>706.04718554177964</v>
      </c>
      <c r="I881" s="9">
        <f t="shared" si="28"/>
        <v>-387.39581210795052</v>
      </c>
      <c r="J881" s="9">
        <f t="shared" si="29"/>
        <v>1799.4901831915099</v>
      </c>
    </row>
    <row r="882" spans="1:10" x14ac:dyDescent="0.2">
      <c r="A882" s="7">
        <v>45758</v>
      </c>
      <c r="C882">
        <f t="shared" si="24"/>
        <v>1.0120472361281341</v>
      </c>
      <c r="D882" s="9">
        <f t="shared" si="25"/>
        <v>-1.1136214408639045</v>
      </c>
      <c r="E882" s="9">
        <f t="shared" si="26"/>
        <v>3.1377159131201724</v>
      </c>
      <c r="F882" s="10">
        <v>45758</v>
      </c>
      <c r="H882">
        <f t="shared" si="27"/>
        <v>706.08521815525012</v>
      </c>
      <c r="I882" s="9">
        <f t="shared" si="28"/>
        <v>-392.89396145757757</v>
      </c>
      <c r="J882" s="9">
        <f t="shared" si="29"/>
        <v>1805.0643977680779</v>
      </c>
    </row>
    <row r="883" spans="1:10" x14ac:dyDescent="0.2">
      <c r="A883" s="7">
        <v>45759</v>
      </c>
      <c r="C883">
        <f t="shared" ref="C883:C903" si="30">_xlfn.FORECAST.ETS(A883,$B$2:$B$722,$A$2:$A$722,1,1)</f>
        <v>0.98915963840143162</v>
      </c>
      <c r="D883" s="9">
        <f t="shared" ref="D883:D903" si="31">C883-_xlfn.FORECAST.ETS.CONFINT(A883,$B$2:$B$722,$A$2:$A$722,0.95,1,1)</f>
        <v>-1.1473027941925862</v>
      </c>
      <c r="E883" s="9">
        <f t="shared" ref="E883:E903" si="32">C883+_xlfn.FORECAST.ETS.CONFINT(A883,$B$2:$B$722,$A$2:$A$722,0.95,1,1)</f>
        <v>3.1256220709954494</v>
      </c>
      <c r="F883" s="10">
        <v>45759</v>
      </c>
      <c r="H883">
        <f t="shared" ref="H883:H903" si="33">_xlfn.FORECAST.ETS(F883,$G$2:$G$722,$F$2:$F$722,1,1)</f>
        <v>706.12325076872025</v>
      </c>
      <c r="I883" s="9">
        <f t="shared" ref="I883:I903" si="34">H883-_xlfn.FORECAST.ETS.CONFINT(F883,$G$2:$G$722,$F$2:$F$722,0.95,1,1)</f>
        <v>-398.40298760053838</v>
      </c>
      <c r="J883" s="9">
        <f t="shared" ref="J883:J903" si="35">H883+_xlfn.FORECAST.ETS.CONFINT(F883,$G$2:$G$722,$F$2:$F$722,0.95,1,1)</f>
        <v>1810.6494891379789</v>
      </c>
    </row>
    <row r="884" spans="1:10" x14ac:dyDescent="0.2">
      <c r="A884" s="7">
        <v>45760</v>
      </c>
      <c r="C884">
        <f t="shared" si="30"/>
        <v>0.98641427761382106</v>
      </c>
      <c r="D884" s="9">
        <f t="shared" si="31"/>
        <v>-1.1607876522069436</v>
      </c>
      <c r="E884" s="9">
        <f t="shared" si="32"/>
        <v>3.1336162074345859</v>
      </c>
      <c r="F884" s="10">
        <v>45760</v>
      </c>
      <c r="H884">
        <f t="shared" si="33"/>
        <v>706.16128338219073</v>
      </c>
      <c r="I884" s="9">
        <f t="shared" si="34"/>
        <v>-403.9228620973513</v>
      </c>
      <c r="J884" s="9">
        <f t="shared" si="35"/>
        <v>1816.2454288617328</v>
      </c>
    </row>
    <row r="885" spans="1:10" x14ac:dyDescent="0.2">
      <c r="A885" s="7">
        <v>45761</v>
      </c>
      <c r="C885">
        <f t="shared" si="30"/>
        <v>0.99071840827218538</v>
      </c>
      <c r="D885" s="9">
        <f t="shared" si="31"/>
        <v>-1.1672439814942568</v>
      </c>
      <c r="E885" s="9">
        <f t="shared" si="32"/>
        <v>3.1486807980386278</v>
      </c>
      <c r="F885" s="10">
        <v>45761</v>
      </c>
      <c r="H885">
        <f t="shared" si="33"/>
        <v>706.19931599566087</v>
      </c>
      <c r="I885" s="9">
        <f t="shared" si="34"/>
        <v>-409.45355675823555</v>
      </c>
      <c r="J885" s="9">
        <f t="shared" si="35"/>
        <v>1821.8521887495572</v>
      </c>
    </row>
    <row r="886" spans="1:10" x14ac:dyDescent="0.2">
      <c r="A886" s="7">
        <v>45762</v>
      </c>
      <c r="C886">
        <f t="shared" si="30"/>
        <v>1.0126057187029263</v>
      </c>
      <c r="D886" s="9">
        <f t="shared" si="31"/>
        <v>-1.1561380392313558</v>
      </c>
      <c r="E886" s="9">
        <f t="shared" si="32"/>
        <v>3.1813494766372084</v>
      </c>
      <c r="F886" s="10">
        <v>45762</v>
      </c>
      <c r="H886">
        <f t="shared" si="33"/>
        <v>706.23734860913146</v>
      </c>
      <c r="I886" s="9">
        <f t="shared" si="34"/>
        <v>-414.99504363964274</v>
      </c>
      <c r="J886" s="9">
        <f t="shared" si="35"/>
        <v>1827.4697408579057</v>
      </c>
    </row>
    <row r="887" spans="1:10" x14ac:dyDescent="0.2">
      <c r="A887" s="7">
        <v>45763</v>
      </c>
      <c r="C887">
        <f t="shared" si="30"/>
        <v>1.0093675252693275</v>
      </c>
      <c r="D887" s="9">
        <f t="shared" si="31"/>
        <v>-1.1701784550337269</v>
      </c>
      <c r="E887" s="9">
        <f t="shared" si="32"/>
        <v>3.1889135055723816</v>
      </c>
      <c r="F887" s="10">
        <v>45763</v>
      </c>
      <c r="H887">
        <f t="shared" si="33"/>
        <v>706.27538122260148</v>
      </c>
      <c r="I887" s="9">
        <f t="shared" si="34"/>
        <v>-420.5472950408564</v>
      </c>
      <c r="J887" s="9">
        <f t="shared" si="35"/>
        <v>1833.0980574860594</v>
      </c>
    </row>
    <row r="888" spans="1:10" x14ac:dyDescent="0.2">
      <c r="A888" s="7">
        <v>45764</v>
      </c>
      <c r="C888">
        <f t="shared" si="30"/>
        <v>1.0039469718515646</v>
      </c>
      <c r="D888" s="9">
        <f t="shared" si="31"/>
        <v>-1.1864220314689473</v>
      </c>
      <c r="E888" s="9">
        <f t="shared" si="32"/>
        <v>3.1943159751720764</v>
      </c>
      <c r="F888" s="10">
        <v>45764</v>
      </c>
      <c r="H888">
        <f t="shared" si="33"/>
        <v>706.31341383607207</v>
      </c>
      <c r="I888" s="9">
        <f t="shared" si="34"/>
        <v>-426.11028350064237</v>
      </c>
      <c r="J888" s="9">
        <f t="shared" si="35"/>
        <v>1838.7371111727866</v>
      </c>
    </row>
    <row r="889" spans="1:10" x14ac:dyDescent="0.2">
      <c r="A889" s="7">
        <v>45765</v>
      </c>
      <c r="C889">
        <f t="shared" si="30"/>
        <v>1.0105710561986208</v>
      </c>
      <c r="D889" s="9">
        <f t="shared" si="31"/>
        <v>-1.1906417176983319</v>
      </c>
      <c r="E889" s="9">
        <f t="shared" si="32"/>
        <v>3.2117838300955732</v>
      </c>
      <c r="F889" s="10">
        <v>45765</v>
      </c>
      <c r="H889">
        <f t="shared" si="33"/>
        <v>706.3514464495421</v>
      </c>
      <c r="I889" s="9">
        <f t="shared" si="34"/>
        <v>-431.68398179396524</v>
      </c>
      <c r="J889" s="9">
        <f t="shared" si="35"/>
        <v>1844.3868746930493</v>
      </c>
    </row>
    <row r="890" spans="1:10" x14ac:dyDescent="0.2">
      <c r="A890" s="7">
        <v>45766</v>
      </c>
      <c r="C890">
        <f t="shared" si="30"/>
        <v>1.0126495979345407</v>
      </c>
      <c r="D890" s="9">
        <f t="shared" si="31"/>
        <v>-1.1994276414643466</v>
      </c>
      <c r="E890" s="9">
        <f t="shared" si="32"/>
        <v>3.2247268373334279</v>
      </c>
      <c r="F890" s="10">
        <v>45766</v>
      </c>
      <c r="H890">
        <f t="shared" si="33"/>
        <v>706.38947906301269</v>
      </c>
      <c r="I890" s="9">
        <f t="shared" si="34"/>
        <v>-437.26836292875305</v>
      </c>
      <c r="J890" s="9">
        <f t="shared" si="35"/>
        <v>1850.0473210547784</v>
      </c>
    </row>
    <row r="891" spans="1:10" x14ac:dyDescent="0.2">
      <c r="A891" s="7">
        <v>45767</v>
      </c>
      <c r="C891">
        <f t="shared" si="30"/>
        <v>0.98976200020783822</v>
      </c>
      <c r="D891" s="9">
        <f t="shared" si="31"/>
        <v>-1.2332743388881304</v>
      </c>
      <c r="E891" s="9">
        <f t="shared" si="32"/>
        <v>3.2127983393038066</v>
      </c>
      <c r="F891" s="10">
        <v>45767</v>
      </c>
      <c r="H891">
        <f t="shared" si="33"/>
        <v>706.42751167648271</v>
      </c>
      <c r="I891" s="9">
        <f t="shared" si="34"/>
        <v>-442.8634001427256</v>
      </c>
      <c r="J891" s="9">
        <f t="shared" si="35"/>
        <v>1855.718423495691</v>
      </c>
    </row>
    <row r="892" spans="1:10" x14ac:dyDescent="0.2">
      <c r="A892" s="7">
        <v>45768</v>
      </c>
      <c r="C892">
        <f t="shared" si="30"/>
        <v>0.98701663942022788</v>
      </c>
      <c r="D892" s="9">
        <f t="shared" si="31"/>
        <v>-1.2469250377091923</v>
      </c>
      <c r="E892" s="9">
        <f t="shared" si="32"/>
        <v>3.2209583165496483</v>
      </c>
      <c r="F892" s="10">
        <v>45768</v>
      </c>
      <c r="H892">
        <f t="shared" si="33"/>
        <v>706.4655442899533</v>
      </c>
      <c r="I892" s="9">
        <f t="shared" si="34"/>
        <v>-448.46906690027015</v>
      </c>
      <c r="J892" s="9">
        <f t="shared" si="35"/>
        <v>1861.4001554801766</v>
      </c>
    </row>
    <row r="893" spans="1:10" x14ac:dyDescent="0.2">
      <c r="A893" s="7">
        <v>45769</v>
      </c>
      <c r="C893">
        <f t="shared" si="30"/>
        <v>0.99132077007859198</v>
      </c>
      <c r="D893" s="9">
        <f t="shared" si="31"/>
        <v>-1.2535467876240585</v>
      </c>
      <c r="E893" s="9">
        <f t="shared" si="32"/>
        <v>3.2361883277812424</v>
      </c>
      <c r="F893" s="10">
        <v>45769</v>
      </c>
      <c r="H893">
        <f t="shared" si="33"/>
        <v>706.50357690342344</v>
      </c>
      <c r="I893" s="9">
        <f t="shared" si="34"/>
        <v>-454.08533688937769</v>
      </c>
      <c r="J893" s="9">
        <f t="shared" si="35"/>
        <v>1867.0924906962246</v>
      </c>
    </row>
    <row r="894" spans="1:10" x14ac:dyDescent="0.2">
      <c r="A894" s="7">
        <v>45770</v>
      </c>
      <c r="C894">
        <f t="shared" si="30"/>
        <v>1.0132080805093331</v>
      </c>
      <c r="D894" s="9">
        <f t="shared" si="31"/>
        <v>-1.2426058494067198</v>
      </c>
      <c r="E894" s="9">
        <f t="shared" si="32"/>
        <v>3.269022010425386</v>
      </c>
      <c r="F894" s="10">
        <v>45770</v>
      </c>
      <c r="H894">
        <f t="shared" si="33"/>
        <v>706.54160951689391</v>
      </c>
      <c r="I894" s="9">
        <f t="shared" si="34"/>
        <v>-459.71218401862393</v>
      </c>
      <c r="J894" s="9">
        <f t="shared" si="35"/>
        <v>1872.7954030524118</v>
      </c>
    </row>
    <row r="895" spans="1:10" x14ac:dyDescent="0.2">
      <c r="A895" s="7">
        <v>45771</v>
      </c>
      <c r="C895">
        <f t="shared" si="30"/>
        <v>1.0099698870757341</v>
      </c>
      <c r="D895" s="9">
        <f t="shared" si="31"/>
        <v>-1.2568108562208162</v>
      </c>
      <c r="E895" s="9">
        <f t="shared" si="32"/>
        <v>3.2767506303722844</v>
      </c>
      <c r="F895" s="10">
        <v>45771</v>
      </c>
      <c r="H895">
        <f t="shared" si="33"/>
        <v>706.57964213036405</v>
      </c>
      <c r="I895" s="9">
        <f t="shared" si="34"/>
        <v>-465.34958241420884</v>
      </c>
      <c r="J895" s="9">
        <f t="shared" si="35"/>
        <v>1878.5088666749371</v>
      </c>
    </row>
    <row r="896" spans="1:10" x14ac:dyDescent="0.2">
      <c r="A896" s="7">
        <v>45772</v>
      </c>
      <c r="C896">
        <f t="shared" si="30"/>
        <v>1.0045493336579714</v>
      </c>
      <c r="D896" s="9">
        <f t="shared" si="31"/>
        <v>-1.2732186141339152</v>
      </c>
      <c r="E896" s="9">
        <f t="shared" si="32"/>
        <v>3.282317281449858</v>
      </c>
      <c r="F896" s="10">
        <v>45772</v>
      </c>
      <c r="H896">
        <f t="shared" si="33"/>
        <v>706.61767474383453</v>
      </c>
      <c r="I896" s="9">
        <f t="shared" si="34"/>
        <v>-470.99750641704111</v>
      </c>
      <c r="J896" s="9">
        <f t="shared" si="35"/>
        <v>1884.23285590471</v>
      </c>
    </row>
    <row r="897" spans="1:10" x14ac:dyDescent="0.2">
      <c r="A897" s="7">
        <v>45773</v>
      </c>
      <c r="C897">
        <f t="shared" si="30"/>
        <v>1.0111734180050274</v>
      </c>
      <c r="D897" s="9">
        <f t="shared" si="31"/>
        <v>-1.2776020757599773</v>
      </c>
      <c r="E897" s="9">
        <f t="shared" si="32"/>
        <v>3.299948911770032</v>
      </c>
      <c r="F897" s="10">
        <v>45773</v>
      </c>
      <c r="H897">
        <f t="shared" si="33"/>
        <v>706.65570735730466</v>
      </c>
      <c r="I897" s="9">
        <f t="shared" si="34"/>
        <v>-476.65593057987758</v>
      </c>
      <c r="J897" s="9">
        <f t="shared" si="35"/>
        <v>1889.9673452944869</v>
      </c>
    </row>
    <row r="898" spans="1:10" x14ac:dyDescent="0.2">
      <c r="A898" s="7">
        <v>45774</v>
      </c>
      <c r="C898">
        <f t="shared" si="30"/>
        <v>1.0132519597409473</v>
      </c>
      <c r="D898" s="9">
        <f t="shared" si="31"/>
        <v>-1.2865513722475785</v>
      </c>
      <c r="E898" s="9">
        <f t="shared" si="32"/>
        <v>3.3130552917294729</v>
      </c>
      <c r="F898" s="10">
        <v>45774</v>
      </c>
      <c r="H898">
        <f t="shared" si="33"/>
        <v>706.69373997077514</v>
      </c>
      <c r="I898" s="9">
        <f t="shared" si="34"/>
        <v>-482.32482966450266</v>
      </c>
      <c r="J898" s="9">
        <f t="shared" si="35"/>
        <v>1895.7123096060529</v>
      </c>
    </row>
    <row r="899" spans="1:10" x14ac:dyDescent="0.2">
      <c r="A899" s="7">
        <v>45775</v>
      </c>
      <c r="C899">
        <f t="shared" si="30"/>
        <v>0.99036436201424505</v>
      </c>
      <c r="D899" s="9">
        <f t="shared" si="31"/>
        <v>-1.3205601625165346</v>
      </c>
      <c r="E899" s="9">
        <f t="shared" si="32"/>
        <v>3.3012888865450245</v>
      </c>
      <c r="F899" s="10">
        <v>45775</v>
      </c>
      <c r="H899">
        <f t="shared" si="33"/>
        <v>706.73177258424528</v>
      </c>
      <c r="I899" s="9">
        <f t="shared" si="34"/>
        <v>-488.00417863896712</v>
      </c>
      <c r="J899" s="9">
        <f t="shared" si="35"/>
        <v>1901.4677238074578</v>
      </c>
    </row>
    <row r="900" spans="1:10" x14ac:dyDescent="0.2">
      <c r="A900" s="7">
        <v>45776</v>
      </c>
      <c r="C900">
        <f t="shared" si="30"/>
        <v>0.98761900122663449</v>
      </c>
      <c r="D900" s="9">
        <f t="shared" si="31"/>
        <v>-1.3343734514592263</v>
      </c>
      <c r="E900" s="9">
        <f t="shared" si="32"/>
        <v>3.309611453912495</v>
      </c>
      <c r="F900" s="10">
        <v>45776</v>
      </c>
      <c r="H900">
        <f t="shared" si="33"/>
        <v>706.76980519771575</v>
      </c>
      <c r="I900" s="9">
        <f t="shared" si="34"/>
        <v>-493.69395267486004</v>
      </c>
      <c r="J900" s="9">
        <f t="shared" si="35"/>
        <v>1907.2335630702914</v>
      </c>
    </row>
    <row r="901" spans="1:10" x14ac:dyDescent="0.2">
      <c r="A901" s="7">
        <v>45777</v>
      </c>
      <c r="C901">
        <f t="shared" si="30"/>
        <v>0.99192313188499881</v>
      </c>
      <c r="D901" s="9">
        <f t="shared" si="31"/>
        <v>-1.3411573986096701</v>
      </c>
      <c r="E901" s="9">
        <f t="shared" si="32"/>
        <v>3.3250036623796677</v>
      </c>
      <c r="F901" s="10">
        <v>45777</v>
      </c>
      <c r="H901">
        <f t="shared" si="33"/>
        <v>706.80783781118589</v>
      </c>
      <c r="I901" s="9">
        <f t="shared" si="34"/>
        <v>-499.3941271446397</v>
      </c>
      <c r="J901" s="9">
        <f t="shared" si="35"/>
        <v>1913.0098027670115</v>
      </c>
    </row>
    <row r="902" spans="1:10" x14ac:dyDescent="0.2">
      <c r="A902" s="7">
        <v>45778</v>
      </c>
      <c r="C902">
        <f t="shared" si="30"/>
        <v>1.0138104423157397</v>
      </c>
      <c r="D902" s="9">
        <f t="shared" si="31"/>
        <v>-1.3303782679717451</v>
      </c>
      <c r="E902" s="9">
        <f t="shared" si="32"/>
        <v>3.3579991526032247</v>
      </c>
      <c r="F902" s="10">
        <v>45778</v>
      </c>
      <c r="H902">
        <f t="shared" si="33"/>
        <v>706.84587042465648</v>
      </c>
      <c r="I902" s="9">
        <f t="shared" si="34"/>
        <v>-505.10467761899793</v>
      </c>
      <c r="J902" s="9">
        <f t="shared" si="35"/>
        <v>1918.796418468311</v>
      </c>
    </row>
    <row r="903" spans="1:10" x14ac:dyDescent="0.2">
      <c r="A903" s="7">
        <v>45779</v>
      </c>
      <c r="C903">
        <f t="shared" si="30"/>
        <v>1.0105722488821409</v>
      </c>
      <c r="D903" s="9">
        <f t="shared" si="31"/>
        <v>-1.3447446958962201</v>
      </c>
      <c r="E903" s="9">
        <f t="shared" si="32"/>
        <v>3.365889193660502</v>
      </c>
      <c r="F903" s="10">
        <v>45779</v>
      </c>
      <c r="H903">
        <f t="shared" si="33"/>
        <v>706.8839030381265</v>
      </c>
      <c r="I903" s="9">
        <f t="shared" si="34"/>
        <v>-510.82557986427753</v>
      </c>
      <c r="J903" s="9">
        <f t="shared" si="35"/>
        <v>1924.5933859405304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BAAC-B640-4B19-B71B-ADA88116231D}">
  <sheetPr codeName="Folha10"/>
  <dimension ref="A1:U903"/>
  <sheetViews>
    <sheetView topLeftCell="I49" zoomScale="80" zoomScaleNormal="80" workbookViewId="0">
      <selection activeCell="P74" sqref="P74"/>
    </sheetView>
  </sheetViews>
  <sheetFormatPr baseColWidth="10" defaultColWidth="8.83203125" defaultRowHeight="15" x14ac:dyDescent="0.2"/>
  <cols>
    <col min="1" max="1" width="17.33203125" customWidth="1"/>
    <col min="2" max="2" width="20.6640625" customWidth="1"/>
    <col min="3" max="3" width="29.33203125" customWidth="1"/>
    <col min="4" max="4" width="45.5" customWidth="1"/>
    <col min="5" max="5" width="46.33203125" customWidth="1"/>
    <col min="6" max="6" width="18.5" customWidth="1"/>
    <col min="7" max="7" width="20.83203125" customWidth="1"/>
    <col min="8" max="8" width="36.33203125" customWidth="1"/>
    <col min="9" max="9" width="28.5" customWidth="1"/>
    <col min="10" max="10" width="23.1640625" customWidth="1"/>
    <col min="15" max="15" width="48.5" customWidth="1"/>
    <col min="16" max="16" width="20.1640625" customWidth="1"/>
    <col min="19" max="19" width="14.33203125" customWidth="1"/>
    <col min="21" max="21" width="19.5" customWidth="1"/>
    <col min="23" max="23" width="15.83203125" bestFit="1" customWidth="1"/>
  </cols>
  <sheetData>
    <row r="1" spans="1:10" x14ac:dyDescent="0.2">
      <c r="A1" t="s">
        <v>413</v>
      </c>
      <c r="B1" t="s">
        <v>414</v>
      </c>
      <c r="C1" t="s">
        <v>416</v>
      </c>
      <c r="D1" t="s">
        <v>417</v>
      </c>
      <c r="E1" s="6" t="s">
        <v>418</v>
      </c>
      <c r="F1" t="s">
        <v>413</v>
      </c>
      <c r="G1" s="6" t="s">
        <v>422</v>
      </c>
      <c r="H1" s="6" t="s">
        <v>423</v>
      </c>
      <c r="I1" t="s">
        <v>420</v>
      </c>
      <c r="J1" t="s">
        <v>421</v>
      </c>
    </row>
    <row r="2" spans="1:10" x14ac:dyDescent="0.2">
      <c r="A2" s="7">
        <v>44878</v>
      </c>
      <c r="B2">
        <v>1</v>
      </c>
      <c r="D2" s="9"/>
      <c r="E2" s="9"/>
      <c r="F2" s="10">
        <v>44878</v>
      </c>
      <c r="G2">
        <v>450</v>
      </c>
      <c r="I2" s="9"/>
      <c r="J2" s="9"/>
    </row>
    <row r="3" spans="1:10" x14ac:dyDescent="0.2">
      <c r="A3" s="7">
        <v>44879</v>
      </c>
      <c r="B3">
        <v>0</v>
      </c>
      <c r="D3" s="9"/>
      <c r="E3" s="9"/>
      <c r="F3" s="10">
        <v>44879</v>
      </c>
      <c r="G3">
        <v>0</v>
      </c>
      <c r="I3" s="9"/>
      <c r="J3" s="9"/>
    </row>
    <row r="4" spans="1:10" x14ac:dyDescent="0.2">
      <c r="A4" s="7">
        <v>44880</v>
      </c>
      <c r="B4">
        <v>0</v>
      </c>
      <c r="D4" s="9"/>
      <c r="E4" s="9"/>
      <c r="F4" s="10">
        <v>44880</v>
      </c>
      <c r="G4">
        <v>0</v>
      </c>
      <c r="I4" s="9"/>
      <c r="J4" s="9"/>
    </row>
    <row r="5" spans="1:10" x14ac:dyDescent="0.2">
      <c r="A5" s="7">
        <v>44881</v>
      </c>
      <c r="B5">
        <v>0</v>
      </c>
      <c r="D5" s="9"/>
      <c r="E5" s="9"/>
      <c r="F5" s="10">
        <v>44881</v>
      </c>
      <c r="G5">
        <v>0</v>
      </c>
      <c r="I5" s="9"/>
      <c r="J5" s="9"/>
    </row>
    <row r="6" spans="1:10" x14ac:dyDescent="0.2">
      <c r="A6" s="7">
        <v>44882</v>
      </c>
      <c r="B6">
        <v>0</v>
      </c>
      <c r="D6" s="9"/>
      <c r="E6" s="9"/>
      <c r="F6" s="10">
        <v>44882</v>
      </c>
      <c r="G6">
        <v>0</v>
      </c>
    </row>
    <row r="7" spans="1:10" x14ac:dyDescent="0.2">
      <c r="A7" s="7">
        <v>44883</v>
      </c>
      <c r="B7">
        <v>0</v>
      </c>
      <c r="D7" s="9"/>
      <c r="E7" s="9"/>
      <c r="F7" s="10">
        <v>44883</v>
      </c>
      <c r="G7">
        <v>0</v>
      </c>
    </row>
    <row r="8" spans="1:10" x14ac:dyDescent="0.2">
      <c r="A8" s="7">
        <v>44884</v>
      </c>
      <c r="B8">
        <v>0</v>
      </c>
      <c r="D8" s="9"/>
      <c r="E8" s="9"/>
      <c r="F8" s="10">
        <v>44884</v>
      </c>
      <c r="G8">
        <v>0</v>
      </c>
    </row>
    <row r="9" spans="1:10" x14ac:dyDescent="0.2">
      <c r="A9" s="7">
        <v>44885</v>
      </c>
      <c r="B9">
        <v>0</v>
      </c>
      <c r="D9" s="9"/>
      <c r="E9" s="9"/>
      <c r="F9" s="10">
        <v>44885</v>
      </c>
      <c r="G9">
        <v>0</v>
      </c>
    </row>
    <row r="10" spans="1:10" x14ac:dyDescent="0.2">
      <c r="A10" s="7">
        <v>44886</v>
      </c>
      <c r="B10">
        <v>0</v>
      </c>
      <c r="D10" s="9"/>
      <c r="E10" s="9"/>
      <c r="F10" s="10">
        <v>44886</v>
      </c>
      <c r="G10">
        <v>0</v>
      </c>
    </row>
    <row r="11" spans="1:10" x14ac:dyDescent="0.2">
      <c r="A11" s="7">
        <v>44887</v>
      </c>
      <c r="B11">
        <v>0</v>
      </c>
      <c r="D11" s="9"/>
      <c r="E11" s="9"/>
      <c r="F11" s="10">
        <v>44887</v>
      </c>
      <c r="G11">
        <v>0</v>
      </c>
    </row>
    <row r="12" spans="1:10" x14ac:dyDescent="0.2">
      <c r="A12" s="7">
        <v>44888</v>
      </c>
      <c r="B12">
        <v>0</v>
      </c>
      <c r="D12" s="9"/>
      <c r="E12" s="9"/>
      <c r="F12" s="10">
        <v>44888</v>
      </c>
      <c r="G12">
        <v>0</v>
      </c>
    </row>
    <row r="13" spans="1:10" x14ac:dyDescent="0.2">
      <c r="A13" s="7">
        <v>44889</v>
      </c>
      <c r="B13">
        <v>0</v>
      </c>
      <c r="D13" s="9"/>
      <c r="E13" s="9"/>
      <c r="F13" s="10">
        <v>44889</v>
      </c>
      <c r="G13">
        <v>0</v>
      </c>
    </row>
    <row r="14" spans="1:10" x14ac:dyDescent="0.2">
      <c r="A14" s="7">
        <v>44890</v>
      </c>
      <c r="B14">
        <v>0</v>
      </c>
      <c r="D14" s="9"/>
      <c r="E14" s="9"/>
      <c r="F14" s="10">
        <v>44890</v>
      </c>
      <c r="G14">
        <v>0</v>
      </c>
    </row>
    <row r="15" spans="1:10" x14ac:dyDescent="0.2">
      <c r="A15" s="7">
        <v>44891</v>
      </c>
      <c r="B15">
        <v>0</v>
      </c>
      <c r="D15" s="9"/>
      <c r="E15" s="9"/>
      <c r="F15" s="10">
        <v>44891</v>
      </c>
      <c r="G15">
        <v>0</v>
      </c>
    </row>
    <row r="16" spans="1:10" x14ac:dyDescent="0.2">
      <c r="A16" s="7">
        <v>44892</v>
      </c>
      <c r="B16">
        <v>0</v>
      </c>
      <c r="D16" s="9"/>
      <c r="E16" s="9"/>
      <c r="F16" s="10">
        <v>44892</v>
      </c>
      <c r="G16">
        <v>0</v>
      </c>
    </row>
    <row r="17" spans="1:7" x14ac:dyDescent="0.2">
      <c r="A17" s="7">
        <v>44893</v>
      </c>
      <c r="B17">
        <v>0</v>
      </c>
      <c r="D17" s="9"/>
      <c r="E17" s="9"/>
      <c r="F17" s="10">
        <v>44893</v>
      </c>
      <c r="G17">
        <v>0</v>
      </c>
    </row>
    <row r="18" spans="1:7" x14ac:dyDescent="0.2">
      <c r="A18" s="7">
        <v>44894</v>
      </c>
      <c r="B18">
        <v>0</v>
      </c>
      <c r="D18" s="9"/>
      <c r="E18" s="9"/>
      <c r="F18" s="10">
        <v>44894</v>
      </c>
      <c r="G18">
        <v>0</v>
      </c>
    </row>
    <row r="19" spans="1:7" x14ac:dyDescent="0.2">
      <c r="A19" s="7">
        <v>44895</v>
      </c>
      <c r="B19">
        <v>0</v>
      </c>
      <c r="D19" s="9"/>
      <c r="E19" s="9"/>
      <c r="F19" s="10">
        <v>44895</v>
      </c>
      <c r="G19">
        <v>0</v>
      </c>
    </row>
    <row r="20" spans="1:7" x14ac:dyDescent="0.2">
      <c r="A20" s="7">
        <v>44896</v>
      </c>
      <c r="B20">
        <v>0</v>
      </c>
      <c r="D20" s="9"/>
      <c r="E20" s="9"/>
      <c r="F20" s="10">
        <v>44896</v>
      </c>
      <c r="G20">
        <v>0</v>
      </c>
    </row>
    <row r="21" spans="1:7" x14ac:dyDescent="0.2">
      <c r="A21" s="7">
        <v>44897</v>
      </c>
      <c r="B21">
        <v>0</v>
      </c>
      <c r="D21" s="9"/>
      <c r="E21" s="9"/>
      <c r="F21" s="10">
        <v>44897</v>
      </c>
      <c r="G21">
        <v>0</v>
      </c>
    </row>
    <row r="22" spans="1:7" x14ac:dyDescent="0.2">
      <c r="A22" s="7">
        <v>44898</v>
      </c>
      <c r="B22">
        <v>0</v>
      </c>
      <c r="D22" s="9"/>
      <c r="E22" s="9"/>
      <c r="F22" s="10">
        <v>44898</v>
      </c>
      <c r="G22">
        <v>0</v>
      </c>
    </row>
    <row r="23" spans="1:7" x14ac:dyDescent="0.2">
      <c r="A23" s="7">
        <v>44899</v>
      </c>
      <c r="B23">
        <v>0</v>
      </c>
      <c r="D23" s="9"/>
      <c r="E23" s="9"/>
      <c r="F23" s="10">
        <v>44899</v>
      </c>
      <c r="G23">
        <v>0</v>
      </c>
    </row>
    <row r="24" spans="1:7" x14ac:dyDescent="0.2">
      <c r="A24" s="7">
        <v>44900</v>
      </c>
      <c r="B24">
        <v>0</v>
      </c>
      <c r="D24" s="9"/>
      <c r="E24" s="9"/>
      <c r="F24" s="10">
        <v>44900</v>
      </c>
      <c r="G24">
        <v>0</v>
      </c>
    </row>
    <row r="25" spans="1:7" x14ac:dyDescent="0.2">
      <c r="A25" s="7">
        <v>44901</v>
      </c>
      <c r="B25">
        <v>0</v>
      </c>
      <c r="D25" s="9"/>
      <c r="E25" s="9"/>
      <c r="F25" s="10">
        <v>44901</v>
      </c>
      <c r="G25">
        <v>0</v>
      </c>
    </row>
    <row r="26" spans="1:7" x14ac:dyDescent="0.2">
      <c r="A26" s="7">
        <v>44902</v>
      </c>
      <c r="B26">
        <v>0</v>
      </c>
      <c r="D26" s="9"/>
      <c r="E26" s="9"/>
      <c r="F26" s="10">
        <v>44902</v>
      </c>
      <c r="G26">
        <v>0</v>
      </c>
    </row>
    <row r="27" spans="1:7" x14ac:dyDescent="0.2">
      <c r="A27" s="7">
        <v>44903</v>
      </c>
      <c r="B27">
        <v>0</v>
      </c>
      <c r="D27" s="9"/>
      <c r="E27" s="9"/>
      <c r="F27" s="10">
        <v>44903</v>
      </c>
      <c r="G27">
        <v>0</v>
      </c>
    </row>
    <row r="28" spans="1:7" x14ac:dyDescent="0.2">
      <c r="A28" s="7">
        <v>44904</v>
      </c>
      <c r="B28">
        <v>0</v>
      </c>
      <c r="D28" s="9"/>
      <c r="E28" s="9"/>
      <c r="F28" s="10">
        <v>44904</v>
      </c>
      <c r="G28">
        <v>0</v>
      </c>
    </row>
    <row r="29" spans="1:7" x14ac:dyDescent="0.2">
      <c r="A29" s="7">
        <v>44905</v>
      </c>
      <c r="B29">
        <v>0</v>
      </c>
      <c r="D29" s="9"/>
      <c r="E29" s="9"/>
      <c r="F29" s="10">
        <v>44905</v>
      </c>
      <c r="G29">
        <v>0</v>
      </c>
    </row>
    <row r="30" spans="1:7" x14ac:dyDescent="0.2">
      <c r="A30" s="7">
        <v>44906</v>
      </c>
      <c r="B30">
        <v>0</v>
      </c>
      <c r="D30" s="9"/>
      <c r="E30" s="9"/>
      <c r="F30" s="10">
        <v>44906</v>
      </c>
      <c r="G30">
        <v>0</v>
      </c>
    </row>
    <row r="31" spans="1:7" x14ac:dyDescent="0.2">
      <c r="A31" s="7">
        <v>44907</v>
      </c>
      <c r="B31">
        <v>0</v>
      </c>
      <c r="D31" s="9"/>
      <c r="E31" s="9"/>
      <c r="F31" s="10">
        <v>44907</v>
      </c>
      <c r="G31">
        <v>0</v>
      </c>
    </row>
    <row r="32" spans="1:7" x14ac:dyDescent="0.2">
      <c r="A32" s="7">
        <v>44908</v>
      </c>
      <c r="B32">
        <v>0</v>
      </c>
      <c r="D32" s="9"/>
      <c r="E32" s="9"/>
      <c r="F32" s="10">
        <v>44908</v>
      </c>
      <c r="G32">
        <v>0</v>
      </c>
    </row>
    <row r="33" spans="1:7" x14ac:dyDescent="0.2">
      <c r="A33" s="7">
        <v>44909</v>
      </c>
      <c r="B33">
        <v>1</v>
      </c>
      <c r="D33" s="9"/>
      <c r="E33" s="9"/>
      <c r="F33" s="10">
        <v>44909</v>
      </c>
      <c r="G33">
        <v>450</v>
      </c>
    </row>
    <row r="34" spans="1:7" x14ac:dyDescent="0.2">
      <c r="A34" s="7">
        <v>44910</v>
      </c>
      <c r="B34">
        <v>0</v>
      </c>
      <c r="D34" s="9"/>
      <c r="E34" s="9"/>
      <c r="F34" s="10">
        <v>44910</v>
      </c>
      <c r="G34">
        <v>0</v>
      </c>
    </row>
    <row r="35" spans="1:7" x14ac:dyDescent="0.2">
      <c r="A35" s="7">
        <v>44911</v>
      </c>
      <c r="B35">
        <v>0</v>
      </c>
      <c r="D35" s="9"/>
      <c r="E35" s="9"/>
      <c r="F35" s="10">
        <v>44911</v>
      </c>
      <c r="G35">
        <v>0</v>
      </c>
    </row>
    <row r="36" spans="1:7" x14ac:dyDescent="0.2">
      <c r="A36" s="7">
        <v>44912</v>
      </c>
      <c r="B36">
        <v>0</v>
      </c>
      <c r="D36" s="9"/>
      <c r="E36" s="9"/>
      <c r="F36" s="10">
        <v>44912</v>
      </c>
      <c r="G36">
        <v>0</v>
      </c>
    </row>
    <row r="37" spans="1:7" x14ac:dyDescent="0.2">
      <c r="A37" s="7">
        <v>44913</v>
      </c>
      <c r="B37">
        <v>0</v>
      </c>
      <c r="D37" s="9"/>
      <c r="E37" s="9"/>
      <c r="F37" s="10">
        <v>44913</v>
      </c>
      <c r="G37">
        <v>0</v>
      </c>
    </row>
    <row r="38" spans="1:7" x14ac:dyDescent="0.2">
      <c r="A38" s="7">
        <v>44914</v>
      </c>
      <c r="B38">
        <v>0</v>
      </c>
      <c r="D38" s="9"/>
      <c r="E38" s="9"/>
      <c r="F38" s="10">
        <v>44914</v>
      </c>
      <c r="G38">
        <v>0</v>
      </c>
    </row>
    <row r="39" spans="1:7" x14ac:dyDescent="0.2">
      <c r="A39" s="7">
        <v>44915</v>
      </c>
      <c r="B39">
        <v>1</v>
      </c>
      <c r="D39" s="9"/>
      <c r="E39" s="9"/>
      <c r="F39" s="10">
        <v>44915</v>
      </c>
      <c r="G39">
        <v>700</v>
      </c>
    </row>
    <row r="40" spans="1:7" x14ac:dyDescent="0.2">
      <c r="A40" s="7">
        <v>44916</v>
      </c>
      <c r="B40">
        <v>0</v>
      </c>
      <c r="D40" s="9"/>
      <c r="E40" s="9"/>
      <c r="F40" s="10">
        <v>44916</v>
      </c>
      <c r="G40">
        <v>0</v>
      </c>
    </row>
    <row r="41" spans="1:7" x14ac:dyDescent="0.2">
      <c r="A41" s="7">
        <v>44917</v>
      </c>
      <c r="B41">
        <v>0</v>
      </c>
      <c r="D41" s="9"/>
      <c r="E41" s="9"/>
      <c r="F41" s="10">
        <v>44917</v>
      </c>
      <c r="G41">
        <v>0</v>
      </c>
    </row>
    <row r="42" spans="1:7" x14ac:dyDescent="0.2">
      <c r="A42" s="7">
        <v>44918</v>
      </c>
      <c r="B42">
        <v>0</v>
      </c>
      <c r="D42" s="9"/>
      <c r="E42" s="9"/>
      <c r="F42" s="10">
        <v>44918</v>
      </c>
      <c r="G42">
        <v>0</v>
      </c>
    </row>
    <row r="43" spans="1:7" x14ac:dyDescent="0.2">
      <c r="A43" s="7">
        <v>44919</v>
      </c>
      <c r="B43">
        <v>0</v>
      </c>
      <c r="D43" s="9"/>
      <c r="E43" s="9"/>
      <c r="F43" s="10">
        <v>44919</v>
      </c>
      <c r="G43">
        <v>0</v>
      </c>
    </row>
    <row r="44" spans="1:7" x14ac:dyDescent="0.2">
      <c r="A44" s="7">
        <v>44920</v>
      </c>
      <c r="B44">
        <v>0</v>
      </c>
      <c r="D44" s="9"/>
      <c r="E44" s="9"/>
      <c r="F44" s="10">
        <v>44920</v>
      </c>
      <c r="G44">
        <v>0</v>
      </c>
    </row>
    <row r="45" spans="1:7" x14ac:dyDescent="0.2">
      <c r="A45" s="7">
        <v>44921</v>
      </c>
      <c r="B45">
        <v>1</v>
      </c>
      <c r="D45" s="9"/>
      <c r="E45" s="9"/>
      <c r="F45" s="10">
        <v>44921</v>
      </c>
      <c r="G45">
        <v>300</v>
      </c>
    </row>
    <row r="46" spans="1:7" x14ac:dyDescent="0.2">
      <c r="A46" s="7">
        <v>44922</v>
      </c>
      <c r="B46">
        <v>0</v>
      </c>
      <c r="D46" s="9"/>
      <c r="E46" s="9"/>
      <c r="F46" s="10">
        <v>44922</v>
      </c>
      <c r="G46">
        <v>0</v>
      </c>
    </row>
    <row r="47" spans="1:7" x14ac:dyDescent="0.2">
      <c r="A47" s="7">
        <v>44923</v>
      </c>
      <c r="B47">
        <v>0</v>
      </c>
      <c r="D47" s="9"/>
      <c r="E47" s="9"/>
      <c r="F47" s="10">
        <v>44923</v>
      </c>
      <c r="G47">
        <v>0</v>
      </c>
    </row>
    <row r="48" spans="1:7" x14ac:dyDescent="0.2">
      <c r="A48" s="7">
        <v>44924</v>
      </c>
      <c r="B48">
        <v>0</v>
      </c>
      <c r="D48" s="9"/>
      <c r="E48" s="9"/>
      <c r="F48" s="10">
        <v>44924</v>
      </c>
      <c r="G48">
        <v>0</v>
      </c>
    </row>
    <row r="49" spans="1:21" x14ac:dyDescent="0.2">
      <c r="A49" s="7">
        <v>44925</v>
      </c>
      <c r="B49">
        <v>0</v>
      </c>
      <c r="D49" s="9"/>
      <c r="E49" s="9"/>
      <c r="F49" s="10">
        <v>44925</v>
      </c>
      <c r="G49">
        <v>0</v>
      </c>
    </row>
    <row r="50" spans="1:21" x14ac:dyDescent="0.2">
      <c r="A50" s="7">
        <v>44926</v>
      </c>
      <c r="B50">
        <v>1</v>
      </c>
      <c r="D50" s="9"/>
      <c r="E50" s="9"/>
      <c r="F50" s="10">
        <v>44926</v>
      </c>
      <c r="G50">
        <v>450</v>
      </c>
    </row>
    <row r="51" spans="1:21" x14ac:dyDescent="0.2">
      <c r="A51" s="7">
        <v>44927</v>
      </c>
      <c r="B51">
        <v>0</v>
      </c>
      <c r="D51" s="9"/>
      <c r="E51" s="9"/>
      <c r="F51" s="10">
        <v>44927</v>
      </c>
      <c r="G51">
        <v>0</v>
      </c>
    </row>
    <row r="52" spans="1:21" x14ac:dyDescent="0.2">
      <c r="A52" s="7">
        <v>44928</v>
      </c>
      <c r="B52">
        <v>0</v>
      </c>
      <c r="D52" s="9"/>
      <c r="E52" s="9"/>
      <c r="F52" s="10">
        <v>44928</v>
      </c>
      <c r="G52">
        <v>0</v>
      </c>
    </row>
    <row r="53" spans="1:21" x14ac:dyDescent="0.2">
      <c r="A53" s="7">
        <v>44929</v>
      </c>
      <c r="B53">
        <v>0</v>
      </c>
      <c r="D53" s="9"/>
      <c r="E53" s="9"/>
      <c r="F53" s="10">
        <v>44929</v>
      </c>
      <c r="G53">
        <v>0</v>
      </c>
    </row>
    <row r="54" spans="1:21" x14ac:dyDescent="0.2">
      <c r="A54" s="7">
        <v>44930</v>
      </c>
      <c r="B54">
        <v>0</v>
      </c>
      <c r="D54" s="9"/>
      <c r="E54" s="9"/>
      <c r="F54" s="10">
        <v>44930</v>
      </c>
      <c r="G54">
        <v>0</v>
      </c>
    </row>
    <row r="55" spans="1:21" x14ac:dyDescent="0.2">
      <c r="A55" s="7">
        <v>44931</v>
      </c>
      <c r="B55">
        <v>0</v>
      </c>
      <c r="D55" s="9"/>
      <c r="E55" s="9"/>
      <c r="F55" s="10">
        <v>44931</v>
      </c>
      <c r="G55">
        <v>0</v>
      </c>
    </row>
    <row r="56" spans="1:21" x14ac:dyDescent="0.2">
      <c r="A56" s="7">
        <v>44932</v>
      </c>
      <c r="B56">
        <v>0</v>
      </c>
      <c r="D56" s="9"/>
      <c r="E56" s="9"/>
      <c r="F56" s="10">
        <v>44932</v>
      </c>
      <c r="G56">
        <v>0</v>
      </c>
    </row>
    <row r="57" spans="1:21" ht="24" x14ac:dyDescent="0.3">
      <c r="A57" s="7">
        <v>44933</v>
      </c>
      <c r="B57">
        <v>0</v>
      </c>
      <c r="D57" s="9"/>
      <c r="E57" s="9"/>
      <c r="F57" s="10">
        <v>44933</v>
      </c>
      <c r="G57">
        <v>0</v>
      </c>
      <c r="O57" s="16" t="s">
        <v>424</v>
      </c>
      <c r="Q57" s="16" t="s">
        <v>426</v>
      </c>
      <c r="U57" s="16" t="s">
        <v>427</v>
      </c>
    </row>
    <row r="58" spans="1:21" x14ac:dyDescent="0.2">
      <c r="A58" s="7">
        <v>44934</v>
      </c>
      <c r="B58">
        <v>0</v>
      </c>
      <c r="D58" s="9"/>
      <c r="E58" s="9"/>
      <c r="F58" s="10">
        <v>44934</v>
      </c>
      <c r="G58">
        <v>0</v>
      </c>
    </row>
    <row r="59" spans="1:21" ht="19" x14ac:dyDescent="0.25">
      <c r="A59" s="7">
        <v>44935</v>
      </c>
      <c r="B59">
        <v>0</v>
      </c>
      <c r="D59" s="9"/>
      <c r="E59" s="9"/>
      <c r="F59" s="10">
        <v>44935</v>
      </c>
      <c r="G59">
        <v>0</v>
      </c>
      <c r="O59" s="18">
        <f>SUM(H723:H903)/SUM(C723:C903)</f>
        <v>706.08765087125141</v>
      </c>
      <c r="Q59" s="18">
        <f>SUM(C723:C903)</f>
        <v>180.32667051938898</v>
      </c>
      <c r="U59" s="18">
        <f>O59*Q59</f>
        <v>127326.43517646952</v>
      </c>
    </row>
    <row r="60" spans="1:21" x14ac:dyDescent="0.2">
      <c r="A60" s="7">
        <v>44936</v>
      </c>
      <c r="B60">
        <v>0</v>
      </c>
      <c r="D60" s="9"/>
      <c r="E60" s="9"/>
      <c r="F60" s="10">
        <v>44936</v>
      </c>
      <c r="G60">
        <v>0</v>
      </c>
    </row>
    <row r="61" spans="1:21" ht="24" x14ac:dyDescent="0.3">
      <c r="A61" s="7">
        <v>44937</v>
      </c>
      <c r="B61">
        <v>1</v>
      </c>
      <c r="D61" s="9"/>
      <c r="E61" s="9"/>
      <c r="F61" s="10">
        <v>44937</v>
      </c>
      <c r="G61">
        <v>700</v>
      </c>
      <c r="O61" s="16" t="s">
        <v>425</v>
      </c>
    </row>
    <row r="62" spans="1:21" x14ac:dyDescent="0.2">
      <c r="A62" s="7">
        <v>44938</v>
      </c>
      <c r="B62">
        <v>0</v>
      </c>
      <c r="D62" s="9"/>
      <c r="E62" s="9"/>
      <c r="F62" s="10">
        <v>44938</v>
      </c>
      <c r="G62">
        <v>0</v>
      </c>
    </row>
    <row r="63" spans="1:21" ht="19" x14ac:dyDescent="0.25">
      <c r="A63" s="7">
        <v>44939</v>
      </c>
      <c r="B63">
        <v>0</v>
      </c>
      <c r="D63" s="9"/>
      <c r="E63" s="9"/>
      <c r="F63" s="10">
        <v>44939</v>
      </c>
      <c r="G63">
        <v>0</v>
      </c>
      <c r="O63" s="18">
        <f>U59-Assumptions!C4-Assumptions!C6</f>
        <v>114026.43517646952</v>
      </c>
    </row>
    <row r="64" spans="1:21" ht="19" x14ac:dyDescent="0.25">
      <c r="A64" s="7">
        <v>44940</v>
      </c>
      <c r="B64">
        <v>0</v>
      </c>
      <c r="D64" s="9"/>
      <c r="E64" s="9"/>
      <c r="F64" s="10">
        <v>44940</v>
      </c>
      <c r="G64">
        <v>0</v>
      </c>
      <c r="O64" s="17"/>
    </row>
    <row r="65" spans="1:16" ht="24" x14ac:dyDescent="0.3">
      <c r="A65" s="7">
        <v>44941</v>
      </c>
      <c r="B65">
        <v>1</v>
      </c>
      <c r="D65" s="9"/>
      <c r="E65" s="9"/>
      <c r="F65" s="10">
        <v>44941</v>
      </c>
      <c r="G65">
        <v>300</v>
      </c>
      <c r="O65" s="16" t="s">
        <v>432</v>
      </c>
    </row>
    <row r="66" spans="1:16" x14ac:dyDescent="0.2">
      <c r="A66" s="7">
        <v>44942</v>
      </c>
      <c r="B66">
        <v>0</v>
      </c>
      <c r="D66" s="9"/>
      <c r="E66" s="9"/>
      <c r="F66" s="10">
        <v>44942</v>
      </c>
      <c r="G66">
        <v>0</v>
      </c>
    </row>
    <row r="67" spans="1:16" ht="24" x14ac:dyDescent="0.3">
      <c r="A67" s="7">
        <v>44943</v>
      </c>
      <c r="B67">
        <v>1</v>
      </c>
      <c r="D67" s="9"/>
      <c r="E67" s="9"/>
      <c r="F67" s="10">
        <v>44943</v>
      </c>
      <c r="G67">
        <v>450</v>
      </c>
      <c r="O67" s="16" t="s">
        <v>428</v>
      </c>
      <c r="P67" s="19">
        <v>750</v>
      </c>
    </row>
    <row r="68" spans="1:16" ht="24" x14ac:dyDescent="0.3">
      <c r="A68" s="7">
        <v>44944</v>
      </c>
      <c r="B68">
        <v>0</v>
      </c>
      <c r="D68" s="9"/>
      <c r="E68" s="9"/>
      <c r="F68" s="10">
        <v>44944</v>
      </c>
      <c r="G68">
        <v>0</v>
      </c>
      <c r="O68" s="16" t="s">
        <v>431</v>
      </c>
      <c r="P68" s="19">
        <v>180</v>
      </c>
    </row>
    <row r="69" spans="1:16" ht="24" x14ac:dyDescent="0.3">
      <c r="A69" s="7">
        <v>44945</v>
      </c>
      <c r="B69">
        <v>0</v>
      </c>
      <c r="D69" s="9"/>
      <c r="E69" s="9"/>
      <c r="F69" s="10">
        <v>44945</v>
      </c>
      <c r="G69">
        <v>0</v>
      </c>
      <c r="O69" s="16" t="s">
        <v>429</v>
      </c>
      <c r="P69" s="19">
        <v>35000</v>
      </c>
    </row>
    <row r="70" spans="1:16" ht="24" x14ac:dyDescent="0.3">
      <c r="A70" s="7">
        <v>44946</v>
      </c>
      <c r="B70">
        <v>0</v>
      </c>
      <c r="D70" s="9"/>
      <c r="E70" s="9"/>
      <c r="F70" s="10">
        <v>44946</v>
      </c>
      <c r="G70">
        <v>0</v>
      </c>
      <c r="O70" s="16" t="s">
        <v>430</v>
      </c>
      <c r="P70" s="19">
        <f>P67*P68-P69</f>
        <v>100000</v>
      </c>
    </row>
    <row r="71" spans="1:16" ht="24" x14ac:dyDescent="0.3">
      <c r="A71" s="7">
        <v>44947</v>
      </c>
      <c r="B71">
        <v>0</v>
      </c>
      <c r="D71" s="9"/>
      <c r="E71" s="9"/>
      <c r="F71" s="10">
        <v>44947</v>
      </c>
      <c r="G71">
        <v>0</v>
      </c>
      <c r="O71" s="16"/>
      <c r="P71" s="18"/>
    </row>
    <row r="72" spans="1:16" ht="24" x14ac:dyDescent="0.3">
      <c r="A72" s="7">
        <v>44948</v>
      </c>
      <c r="B72">
        <v>0</v>
      </c>
      <c r="D72" s="9"/>
      <c r="E72" s="9"/>
      <c r="F72" s="10">
        <v>44948</v>
      </c>
      <c r="G72">
        <v>0</v>
      </c>
      <c r="O72" s="16" t="s">
        <v>433</v>
      </c>
    </row>
    <row r="73" spans="1:16" x14ac:dyDescent="0.2">
      <c r="A73" s="7">
        <v>44949</v>
      </c>
      <c r="B73">
        <v>0</v>
      </c>
      <c r="D73" s="9"/>
      <c r="E73" s="9"/>
      <c r="F73" s="10">
        <v>44949</v>
      </c>
      <c r="G73">
        <v>0</v>
      </c>
    </row>
    <row r="74" spans="1:16" ht="24" x14ac:dyDescent="0.3">
      <c r="A74" s="7">
        <v>44950</v>
      </c>
      <c r="B74">
        <v>0</v>
      </c>
      <c r="D74" s="9"/>
      <c r="E74" s="9"/>
      <c r="F74" s="10">
        <v>44950</v>
      </c>
      <c r="G74">
        <v>0</v>
      </c>
      <c r="O74" s="16" t="s">
        <v>428</v>
      </c>
      <c r="P74" s="19">
        <v>706</v>
      </c>
    </row>
    <row r="75" spans="1:16" ht="24" x14ac:dyDescent="0.3">
      <c r="A75" s="7">
        <v>44951</v>
      </c>
      <c r="B75">
        <v>0</v>
      </c>
      <c r="D75" s="9"/>
      <c r="E75" s="9"/>
      <c r="F75" s="10">
        <v>44951</v>
      </c>
      <c r="G75">
        <v>0</v>
      </c>
      <c r="O75" s="16" t="s">
        <v>431</v>
      </c>
      <c r="P75" s="19">
        <v>82.577903682719551</v>
      </c>
    </row>
    <row r="76" spans="1:16" ht="24" x14ac:dyDescent="0.3">
      <c r="A76" s="7">
        <v>44952</v>
      </c>
      <c r="B76">
        <v>0</v>
      </c>
      <c r="D76" s="9"/>
      <c r="E76" s="9"/>
      <c r="F76" s="10">
        <v>44952</v>
      </c>
      <c r="G76">
        <v>0</v>
      </c>
      <c r="O76" s="16" t="s">
        <v>429</v>
      </c>
      <c r="P76" s="19">
        <v>35000</v>
      </c>
    </row>
    <row r="77" spans="1:16" ht="24" x14ac:dyDescent="0.3">
      <c r="A77" s="7">
        <v>44953</v>
      </c>
      <c r="B77">
        <v>0</v>
      </c>
      <c r="D77" s="9"/>
      <c r="E77" s="9"/>
      <c r="F77" s="10">
        <v>44953</v>
      </c>
      <c r="G77">
        <v>0</v>
      </c>
      <c r="O77" s="16" t="s">
        <v>430</v>
      </c>
      <c r="P77" s="19">
        <f>P74*P75-P76</f>
        <v>23300</v>
      </c>
    </row>
    <row r="78" spans="1:16" x14ac:dyDescent="0.2">
      <c r="A78" s="7">
        <v>44954</v>
      </c>
      <c r="B78">
        <v>0</v>
      </c>
      <c r="D78" s="9"/>
      <c r="E78" s="9"/>
      <c r="F78" s="10">
        <v>44954</v>
      </c>
      <c r="G78">
        <v>0</v>
      </c>
    </row>
    <row r="79" spans="1:16" x14ac:dyDescent="0.2">
      <c r="A79" s="7">
        <v>44955</v>
      </c>
      <c r="B79">
        <v>0</v>
      </c>
      <c r="D79" s="9"/>
      <c r="E79" s="9"/>
      <c r="F79" s="10">
        <v>44955</v>
      </c>
      <c r="G79">
        <v>0</v>
      </c>
    </row>
    <row r="80" spans="1:16" x14ac:dyDescent="0.2">
      <c r="A80" s="7">
        <v>44956</v>
      </c>
      <c r="B80">
        <v>0</v>
      </c>
      <c r="D80" s="9"/>
      <c r="E80" s="9"/>
      <c r="F80" s="10">
        <v>44956</v>
      </c>
      <c r="G80">
        <v>0</v>
      </c>
    </row>
    <row r="81" spans="1:7" x14ac:dyDescent="0.2">
      <c r="A81" s="7">
        <v>44957</v>
      </c>
      <c r="B81">
        <v>0</v>
      </c>
      <c r="D81" s="9"/>
      <c r="E81" s="9"/>
      <c r="F81" s="10">
        <v>44957</v>
      </c>
      <c r="G81">
        <v>0</v>
      </c>
    </row>
    <row r="82" spans="1:7" x14ac:dyDescent="0.2">
      <c r="A82" s="7">
        <v>44958</v>
      </c>
      <c r="B82">
        <v>0</v>
      </c>
      <c r="D82" s="9"/>
      <c r="E82" s="9"/>
      <c r="F82" s="10">
        <v>44958</v>
      </c>
      <c r="G82">
        <v>0</v>
      </c>
    </row>
    <row r="83" spans="1:7" x14ac:dyDescent="0.2">
      <c r="A83" s="7">
        <v>44959</v>
      </c>
      <c r="B83">
        <v>0</v>
      </c>
      <c r="D83" s="9"/>
      <c r="E83" s="9"/>
      <c r="F83" s="10">
        <v>44959</v>
      </c>
      <c r="G83">
        <v>0</v>
      </c>
    </row>
    <row r="84" spans="1:7" x14ac:dyDescent="0.2">
      <c r="A84" s="7">
        <v>44960</v>
      </c>
      <c r="B84">
        <v>0</v>
      </c>
      <c r="D84" s="9"/>
      <c r="E84" s="9"/>
      <c r="F84" s="10">
        <v>44960</v>
      </c>
      <c r="G84">
        <v>0</v>
      </c>
    </row>
    <row r="85" spans="1:7" x14ac:dyDescent="0.2">
      <c r="A85" s="7">
        <v>44961</v>
      </c>
      <c r="B85">
        <v>0</v>
      </c>
      <c r="D85" s="9"/>
      <c r="E85" s="9"/>
      <c r="F85" s="10">
        <v>44961</v>
      </c>
      <c r="G85">
        <v>0</v>
      </c>
    </row>
    <row r="86" spans="1:7" x14ac:dyDescent="0.2">
      <c r="A86" s="7">
        <v>44962</v>
      </c>
      <c r="B86">
        <v>1</v>
      </c>
      <c r="D86" s="9"/>
      <c r="E86" s="9"/>
      <c r="F86" s="10">
        <v>44962</v>
      </c>
      <c r="G86">
        <v>700</v>
      </c>
    </row>
    <row r="87" spans="1:7" x14ac:dyDescent="0.2">
      <c r="A87" s="7">
        <v>44963</v>
      </c>
      <c r="B87">
        <v>0</v>
      </c>
      <c r="D87" s="9"/>
      <c r="E87" s="9"/>
      <c r="F87" s="10">
        <v>44963</v>
      </c>
      <c r="G87">
        <v>0</v>
      </c>
    </row>
    <row r="88" spans="1:7" x14ac:dyDescent="0.2">
      <c r="A88" s="7">
        <v>44964</v>
      </c>
      <c r="B88">
        <v>0</v>
      </c>
      <c r="D88" s="9"/>
      <c r="E88" s="9"/>
      <c r="F88" s="10">
        <v>44964</v>
      </c>
      <c r="G88">
        <v>0</v>
      </c>
    </row>
    <row r="89" spans="1:7" x14ac:dyDescent="0.2">
      <c r="A89" s="7">
        <v>44965</v>
      </c>
      <c r="B89">
        <v>0</v>
      </c>
      <c r="D89" s="9"/>
      <c r="E89" s="9"/>
      <c r="F89" s="10">
        <v>44965</v>
      </c>
      <c r="G89">
        <v>0</v>
      </c>
    </row>
    <row r="90" spans="1:7" x14ac:dyDescent="0.2">
      <c r="A90" s="7">
        <v>44966</v>
      </c>
      <c r="B90">
        <v>1</v>
      </c>
      <c r="D90" s="9"/>
      <c r="E90" s="9"/>
      <c r="F90" s="10">
        <v>44966</v>
      </c>
      <c r="G90">
        <v>300</v>
      </c>
    </row>
    <row r="91" spans="1:7" x14ac:dyDescent="0.2">
      <c r="A91" s="7">
        <v>44967</v>
      </c>
      <c r="B91">
        <v>0</v>
      </c>
      <c r="D91" s="9"/>
      <c r="E91" s="9"/>
      <c r="F91" s="10">
        <v>44967</v>
      </c>
      <c r="G91">
        <v>0</v>
      </c>
    </row>
    <row r="92" spans="1:7" x14ac:dyDescent="0.2">
      <c r="A92" s="7">
        <v>44968</v>
      </c>
      <c r="B92">
        <v>0</v>
      </c>
      <c r="D92" s="9"/>
      <c r="E92" s="9"/>
      <c r="F92" s="10">
        <v>44968</v>
      </c>
      <c r="G92">
        <v>0</v>
      </c>
    </row>
    <row r="93" spans="1:7" x14ac:dyDescent="0.2">
      <c r="A93" s="7">
        <v>44969</v>
      </c>
      <c r="B93">
        <v>0</v>
      </c>
      <c r="D93" s="9"/>
      <c r="E93" s="9"/>
      <c r="F93" s="10">
        <v>44969</v>
      </c>
      <c r="G93">
        <v>0</v>
      </c>
    </row>
    <row r="94" spans="1:7" x14ac:dyDescent="0.2">
      <c r="A94" s="7">
        <v>44970</v>
      </c>
      <c r="B94">
        <v>0</v>
      </c>
      <c r="D94" s="9"/>
      <c r="E94" s="9"/>
      <c r="F94" s="10">
        <v>44970</v>
      </c>
      <c r="G94">
        <v>0</v>
      </c>
    </row>
    <row r="95" spans="1:7" x14ac:dyDescent="0.2">
      <c r="A95" s="7">
        <v>44971</v>
      </c>
      <c r="B95">
        <v>1</v>
      </c>
      <c r="D95" s="9"/>
      <c r="E95" s="9"/>
      <c r="F95" s="10">
        <v>44971</v>
      </c>
      <c r="G95">
        <v>450</v>
      </c>
    </row>
    <row r="96" spans="1:7" x14ac:dyDescent="0.2">
      <c r="A96" s="7">
        <v>44972</v>
      </c>
      <c r="B96">
        <v>0</v>
      </c>
      <c r="D96" s="9"/>
      <c r="E96" s="9"/>
      <c r="F96" s="10">
        <v>44972</v>
      </c>
      <c r="G96">
        <v>0</v>
      </c>
    </row>
    <row r="97" spans="1:7" x14ac:dyDescent="0.2">
      <c r="A97" s="7">
        <v>44973</v>
      </c>
      <c r="B97">
        <v>0</v>
      </c>
      <c r="D97" s="9"/>
      <c r="E97" s="9"/>
      <c r="F97" s="10">
        <v>44973</v>
      </c>
      <c r="G97">
        <v>0</v>
      </c>
    </row>
    <row r="98" spans="1:7" x14ac:dyDescent="0.2">
      <c r="A98" s="7">
        <v>44974</v>
      </c>
      <c r="B98">
        <v>0</v>
      </c>
      <c r="D98" s="9"/>
      <c r="E98" s="9"/>
      <c r="F98" s="10">
        <v>44974</v>
      </c>
      <c r="G98">
        <v>0</v>
      </c>
    </row>
    <row r="99" spans="1:7" x14ac:dyDescent="0.2">
      <c r="A99" s="7">
        <v>44975</v>
      </c>
      <c r="B99">
        <v>1</v>
      </c>
      <c r="D99" s="9"/>
      <c r="E99" s="9"/>
      <c r="F99" s="10">
        <v>44975</v>
      </c>
      <c r="G99">
        <v>700</v>
      </c>
    </row>
    <row r="100" spans="1:7" x14ac:dyDescent="0.2">
      <c r="A100" s="7">
        <v>44976</v>
      </c>
      <c r="B100">
        <v>1</v>
      </c>
      <c r="D100" s="9"/>
      <c r="E100" s="9"/>
      <c r="F100" s="10">
        <v>44976</v>
      </c>
      <c r="G100">
        <v>300</v>
      </c>
    </row>
    <row r="101" spans="1:7" x14ac:dyDescent="0.2">
      <c r="A101" s="7">
        <v>44977</v>
      </c>
      <c r="B101">
        <v>0</v>
      </c>
      <c r="D101" s="9"/>
      <c r="E101" s="9"/>
      <c r="F101" s="10">
        <v>44977</v>
      </c>
      <c r="G101">
        <v>0</v>
      </c>
    </row>
    <row r="102" spans="1:7" x14ac:dyDescent="0.2">
      <c r="A102" s="7">
        <v>44978</v>
      </c>
      <c r="B102">
        <v>1</v>
      </c>
      <c r="D102" s="9"/>
      <c r="E102" s="9"/>
      <c r="F102" s="10">
        <v>44978</v>
      </c>
      <c r="G102">
        <v>450</v>
      </c>
    </row>
    <row r="103" spans="1:7" x14ac:dyDescent="0.2">
      <c r="A103" s="7">
        <v>44979</v>
      </c>
      <c r="B103">
        <v>1</v>
      </c>
      <c r="D103" s="9"/>
      <c r="E103" s="9"/>
      <c r="F103" s="10">
        <v>44979</v>
      </c>
      <c r="G103">
        <v>700</v>
      </c>
    </row>
    <row r="104" spans="1:7" x14ac:dyDescent="0.2">
      <c r="A104" s="7">
        <v>44980</v>
      </c>
      <c r="B104">
        <v>0</v>
      </c>
      <c r="D104" s="9"/>
      <c r="E104" s="9"/>
      <c r="F104" s="10">
        <v>44980</v>
      </c>
      <c r="G104">
        <v>0</v>
      </c>
    </row>
    <row r="105" spans="1:7" x14ac:dyDescent="0.2">
      <c r="A105" s="7">
        <v>44981</v>
      </c>
      <c r="B105">
        <v>0</v>
      </c>
      <c r="D105" s="9"/>
      <c r="E105" s="9"/>
      <c r="F105" s="10">
        <v>44981</v>
      </c>
      <c r="G105">
        <v>0</v>
      </c>
    </row>
    <row r="106" spans="1:7" x14ac:dyDescent="0.2">
      <c r="A106" s="7">
        <v>44982</v>
      </c>
      <c r="B106">
        <v>1</v>
      </c>
      <c r="D106" s="9"/>
      <c r="E106" s="9"/>
      <c r="F106" s="10">
        <v>44982</v>
      </c>
      <c r="G106">
        <v>300</v>
      </c>
    </row>
    <row r="107" spans="1:7" x14ac:dyDescent="0.2">
      <c r="A107" s="7">
        <v>44983</v>
      </c>
      <c r="B107">
        <v>0</v>
      </c>
      <c r="D107" s="9"/>
      <c r="E107" s="9"/>
      <c r="F107" s="10">
        <v>44983</v>
      </c>
      <c r="G107">
        <v>0</v>
      </c>
    </row>
    <row r="108" spans="1:7" x14ac:dyDescent="0.2">
      <c r="A108" s="7">
        <v>44984</v>
      </c>
      <c r="B108">
        <v>0</v>
      </c>
      <c r="D108" s="9"/>
      <c r="E108" s="9"/>
      <c r="F108" s="10">
        <v>44984</v>
      </c>
      <c r="G108">
        <v>0</v>
      </c>
    </row>
    <row r="109" spans="1:7" x14ac:dyDescent="0.2">
      <c r="A109" s="7">
        <v>44985</v>
      </c>
      <c r="B109">
        <v>0</v>
      </c>
      <c r="D109" s="9"/>
      <c r="E109" s="9"/>
      <c r="F109" s="10">
        <v>44985</v>
      </c>
      <c r="G109">
        <v>0</v>
      </c>
    </row>
    <row r="110" spans="1:7" x14ac:dyDescent="0.2">
      <c r="A110" s="7">
        <v>44986</v>
      </c>
      <c r="B110">
        <v>0</v>
      </c>
      <c r="D110" s="9"/>
      <c r="E110" s="9"/>
      <c r="F110" s="10">
        <v>44986</v>
      </c>
      <c r="G110">
        <v>0</v>
      </c>
    </row>
    <row r="111" spans="1:7" x14ac:dyDescent="0.2">
      <c r="A111" s="7">
        <v>44987</v>
      </c>
      <c r="B111">
        <v>0</v>
      </c>
      <c r="D111" s="9"/>
      <c r="E111" s="9"/>
      <c r="F111" s="10">
        <v>44987</v>
      </c>
      <c r="G111">
        <v>0</v>
      </c>
    </row>
    <row r="112" spans="1:7" x14ac:dyDescent="0.2">
      <c r="A112" s="7">
        <v>44988</v>
      </c>
      <c r="B112">
        <v>0</v>
      </c>
      <c r="D112" s="9"/>
      <c r="E112" s="9"/>
      <c r="F112" s="10">
        <v>44988</v>
      </c>
      <c r="G112">
        <v>0</v>
      </c>
    </row>
    <row r="113" spans="1:7" x14ac:dyDescent="0.2">
      <c r="A113" s="7">
        <v>44989</v>
      </c>
      <c r="B113">
        <v>0</v>
      </c>
      <c r="D113" s="9"/>
      <c r="E113" s="9"/>
      <c r="F113" s="10">
        <v>44989</v>
      </c>
      <c r="G113">
        <v>0</v>
      </c>
    </row>
    <row r="114" spans="1:7" x14ac:dyDescent="0.2">
      <c r="A114" s="7">
        <v>44990</v>
      </c>
      <c r="B114">
        <v>0</v>
      </c>
      <c r="D114" s="9"/>
      <c r="E114" s="9"/>
      <c r="F114" s="10">
        <v>44990</v>
      </c>
      <c r="G114">
        <v>0</v>
      </c>
    </row>
    <row r="115" spans="1:7" x14ac:dyDescent="0.2">
      <c r="A115" s="7">
        <v>44991</v>
      </c>
      <c r="B115">
        <v>0</v>
      </c>
      <c r="D115" s="9"/>
      <c r="E115" s="9"/>
      <c r="F115" s="10">
        <v>44991</v>
      </c>
      <c r="G115">
        <v>0</v>
      </c>
    </row>
    <row r="116" spans="1:7" x14ac:dyDescent="0.2">
      <c r="A116" s="7">
        <v>44992</v>
      </c>
      <c r="B116">
        <v>0</v>
      </c>
      <c r="D116" s="9"/>
      <c r="E116" s="9"/>
      <c r="F116" s="10">
        <v>44992</v>
      </c>
      <c r="G116">
        <v>0</v>
      </c>
    </row>
    <row r="117" spans="1:7" x14ac:dyDescent="0.2">
      <c r="A117" s="7">
        <v>44993</v>
      </c>
      <c r="B117">
        <v>0</v>
      </c>
      <c r="D117" s="9"/>
      <c r="E117" s="9"/>
      <c r="F117" s="10">
        <v>44993</v>
      </c>
      <c r="G117">
        <v>0</v>
      </c>
    </row>
    <row r="118" spans="1:7" x14ac:dyDescent="0.2">
      <c r="A118" s="7">
        <v>44994</v>
      </c>
      <c r="B118">
        <v>0</v>
      </c>
      <c r="D118" s="9"/>
      <c r="E118" s="9"/>
      <c r="F118" s="10">
        <v>44994</v>
      </c>
      <c r="G118">
        <v>0</v>
      </c>
    </row>
    <row r="119" spans="1:7" x14ac:dyDescent="0.2">
      <c r="A119" s="7">
        <v>44995</v>
      </c>
      <c r="B119">
        <v>0</v>
      </c>
      <c r="D119" s="9"/>
      <c r="E119" s="9"/>
      <c r="F119" s="10">
        <v>44995</v>
      </c>
      <c r="G119">
        <v>0</v>
      </c>
    </row>
    <row r="120" spans="1:7" x14ac:dyDescent="0.2">
      <c r="A120" s="7">
        <v>44996</v>
      </c>
      <c r="B120">
        <v>0</v>
      </c>
      <c r="D120" s="9"/>
      <c r="E120" s="9"/>
      <c r="F120" s="10">
        <v>44996</v>
      </c>
      <c r="G120">
        <v>0</v>
      </c>
    </row>
    <row r="121" spans="1:7" x14ac:dyDescent="0.2">
      <c r="A121" s="7">
        <v>44997</v>
      </c>
      <c r="B121">
        <v>0</v>
      </c>
      <c r="D121" s="9"/>
      <c r="E121" s="9"/>
      <c r="F121" s="10">
        <v>44997</v>
      </c>
      <c r="G121">
        <v>0</v>
      </c>
    </row>
    <row r="122" spans="1:7" x14ac:dyDescent="0.2">
      <c r="A122" s="7">
        <v>44998</v>
      </c>
      <c r="B122">
        <v>0</v>
      </c>
      <c r="D122" s="9"/>
      <c r="E122" s="9"/>
      <c r="F122" s="10">
        <v>44998</v>
      </c>
      <c r="G122">
        <v>0</v>
      </c>
    </row>
    <row r="123" spans="1:7" x14ac:dyDescent="0.2">
      <c r="A123" s="7">
        <v>44999</v>
      </c>
      <c r="B123">
        <v>1</v>
      </c>
      <c r="D123" s="9"/>
      <c r="E123" s="9"/>
      <c r="F123" s="10">
        <v>44999</v>
      </c>
      <c r="G123">
        <v>450</v>
      </c>
    </row>
    <row r="124" spans="1:7" x14ac:dyDescent="0.2">
      <c r="A124" s="7">
        <v>45000</v>
      </c>
      <c r="B124">
        <v>0</v>
      </c>
      <c r="D124" s="9"/>
      <c r="E124" s="9"/>
      <c r="F124" s="10">
        <v>45000</v>
      </c>
      <c r="G124">
        <v>0</v>
      </c>
    </row>
    <row r="125" spans="1:7" x14ac:dyDescent="0.2">
      <c r="A125" s="7">
        <v>45001</v>
      </c>
      <c r="B125">
        <v>0</v>
      </c>
      <c r="D125" s="9"/>
      <c r="E125" s="9"/>
      <c r="F125" s="10">
        <v>45001</v>
      </c>
      <c r="G125">
        <v>0</v>
      </c>
    </row>
    <row r="126" spans="1:7" x14ac:dyDescent="0.2">
      <c r="A126" s="7">
        <v>45002</v>
      </c>
      <c r="B126">
        <v>0</v>
      </c>
      <c r="D126" s="9"/>
      <c r="E126" s="9"/>
      <c r="F126" s="10">
        <v>45002</v>
      </c>
      <c r="G126">
        <v>0</v>
      </c>
    </row>
    <row r="127" spans="1:7" x14ac:dyDescent="0.2">
      <c r="A127" s="7">
        <v>45003</v>
      </c>
      <c r="B127">
        <v>0</v>
      </c>
      <c r="D127" s="9"/>
      <c r="E127" s="9"/>
      <c r="F127" s="10">
        <v>45003</v>
      </c>
      <c r="G127">
        <v>0</v>
      </c>
    </row>
    <row r="128" spans="1:7" x14ac:dyDescent="0.2">
      <c r="A128" s="7">
        <v>45004</v>
      </c>
      <c r="B128">
        <v>0</v>
      </c>
      <c r="D128" s="9"/>
      <c r="E128" s="9"/>
      <c r="F128" s="10">
        <v>45004</v>
      </c>
      <c r="G128">
        <v>0</v>
      </c>
    </row>
    <row r="129" spans="1:7" x14ac:dyDescent="0.2">
      <c r="A129" s="7">
        <v>45005</v>
      </c>
      <c r="B129">
        <v>0</v>
      </c>
      <c r="D129" s="9"/>
      <c r="E129" s="9"/>
      <c r="F129" s="10">
        <v>45005</v>
      </c>
      <c r="G129">
        <v>0</v>
      </c>
    </row>
    <row r="130" spans="1:7" x14ac:dyDescent="0.2">
      <c r="A130" s="7">
        <v>45006</v>
      </c>
      <c r="B130">
        <v>0</v>
      </c>
      <c r="D130" s="9"/>
      <c r="E130" s="9"/>
      <c r="F130" s="10">
        <v>45006</v>
      </c>
      <c r="G130">
        <v>0</v>
      </c>
    </row>
    <row r="131" spans="1:7" x14ac:dyDescent="0.2">
      <c r="A131" s="7">
        <v>45007</v>
      </c>
      <c r="B131">
        <v>0</v>
      </c>
      <c r="D131" s="9"/>
      <c r="E131" s="9"/>
      <c r="F131" s="10">
        <v>45007</v>
      </c>
      <c r="G131">
        <v>0</v>
      </c>
    </row>
    <row r="132" spans="1:7" x14ac:dyDescent="0.2">
      <c r="A132" s="7">
        <v>45008</v>
      </c>
      <c r="B132">
        <v>0</v>
      </c>
      <c r="D132" s="9"/>
      <c r="E132" s="9"/>
      <c r="F132" s="10">
        <v>45008</v>
      </c>
      <c r="G132">
        <v>0</v>
      </c>
    </row>
    <row r="133" spans="1:7" x14ac:dyDescent="0.2">
      <c r="A133" s="7">
        <v>45009</v>
      </c>
      <c r="B133">
        <v>0</v>
      </c>
      <c r="D133" s="9"/>
      <c r="E133" s="9"/>
      <c r="F133" s="10">
        <v>45009</v>
      </c>
      <c r="G133">
        <v>0</v>
      </c>
    </row>
    <row r="134" spans="1:7" x14ac:dyDescent="0.2">
      <c r="A134" s="7">
        <v>45010</v>
      </c>
      <c r="B134">
        <v>0</v>
      </c>
      <c r="D134" s="9"/>
      <c r="E134" s="9"/>
      <c r="F134" s="10">
        <v>45010</v>
      </c>
      <c r="G134">
        <v>0</v>
      </c>
    </row>
    <row r="135" spans="1:7" x14ac:dyDescent="0.2">
      <c r="A135" s="7">
        <v>45011</v>
      </c>
      <c r="B135">
        <v>0</v>
      </c>
      <c r="D135" s="9"/>
      <c r="E135" s="9"/>
      <c r="F135" s="10">
        <v>45011</v>
      </c>
      <c r="G135">
        <v>0</v>
      </c>
    </row>
    <row r="136" spans="1:7" x14ac:dyDescent="0.2">
      <c r="A136" s="7">
        <v>45012</v>
      </c>
      <c r="B136">
        <v>0</v>
      </c>
      <c r="D136" s="9"/>
      <c r="E136" s="9"/>
      <c r="F136" s="10">
        <v>45012</v>
      </c>
      <c r="G136">
        <v>0</v>
      </c>
    </row>
    <row r="137" spans="1:7" x14ac:dyDescent="0.2">
      <c r="A137" s="7">
        <v>45013</v>
      </c>
      <c r="B137">
        <v>0</v>
      </c>
      <c r="D137" s="9"/>
      <c r="E137" s="9"/>
      <c r="F137" s="10">
        <v>45013</v>
      </c>
      <c r="G137">
        <v>0</v>
      </c>
    </row>
    <row r="138" spans="1:7" x14ac:dyDescent="0.2">
      <c r="A138" s="7">
        <v>45014</v>
      </c>
      <c r="B138">
        <v>0</v>
      </c>
      <c r="D138" s="9"/>
      <c r="E138" s="9"/>
      <c r="F138" s="10">
        <v>45014</v>
      </c>
      <c r="G138">
        <v>0</v>
      </c>
    </row>
    <row r="139" spans="1:7" x14ac:dyDescent="0.2">
      <c r="A139" s="7">
        <v>45015</v>
      </c>
      <c r="B139">
        <v>0</v>
      </c>
      <c r="D139" s="9"/>
      <c r="E139" s="9"/>
      <c r="F139" s="10">
        <v>45015</v>
      </c>
      <c r="G139">
        <v>0</v>
      </c>
    </row>
    <row r="140" spans="1:7" x14ac:dyDescent="0.2">
      <c r="A140" s="7">
        <v>45016</v>
      </c>
      <c r="B140">
        <v>0</v>
      </c>
      <c r="D140" s="9"/>
      <c r="E140" s="9"/>
      <c r="F140" s="10">
        <v>45016</v>
      </c>
      <c r="G140">
        <v>0</v>
      </c>
    </row>
    <row r="141" spans="1:7" x14ac:dyDescent="0.2">
      <c r="A141" s="7">
        <v>45017</v>
      </c>
      <c r="B141">
        <v>0</v>
      </c>
      <c r="D141" s="9"/>
      <c r="E141" s="9"/>
      <c r="F141" s="10">
        <v>45017</v>
      </c>
      <c r="G141">
        <v>0</v>
      </c>
    </row>
    <row r="142" spans="1:7" x14ac:dyDescent="0.2">
      <c r="A142" s="7">
        <v>45018</v>
      </c>
      <c r="B142">
        <v>0</v>
      </c>
      <c r="D142" s="9"/>
      <c r="E142" s="9"/>
      <c r="F142" s="10">
        <v>45018</v>
      </c>
      <c r="G142">
        <v>0</v>
      </c>
    </row>
    <row r="143" spans="1:7" x14ac:dyDescent="0.2">
      <c r="A143" s="7">
        <v>45019</v>
      </c>
      <c r="B143">
        <v>1</v>
      </c>
      <c r="D143" s="9"/>
      <c r="E143" s="9"/>
      <c r="F143" s="10">
        <v>45019</v>
      </c>
      <c r="G143">
        <v>700</v>
      </c>
    </row>
    <row r="144" spans="1:7" x14ac:dyDescent="0.2">
      <c r="A144" s="7">
        <v>45020</v>
      </c>
      <c r="B144">
        <v>0</v>
      </c>
      <c r="D144" s="9"/>
      <c r="E144" s="9"/>
      <c r="F144" s="10">
        <v>45020</v>
      </c>
      <c r="G144">
        <v>0</v>
      </c>
    </row>
    <row r="145" spans="1:7" x14ac:dyDescent="0.2">
      <c r="A145" s="7">
        <v>45021</v>
      </c>
      <c r="B145">
        <v>0</v>
      </c>
      <c r="D145" s="9"/>
      <c r="E145" s="9"/>
      <c r="F145" s="10">
        <v>45021</v>
      </c>
      <c r="G145">
        <v>0</v>
      </c>
    </row>
    <row r="146" spans="1:7" x14ac:dyDescent="0.2">
      <c r="A146" s="7">
        <v>45022</v>
      </c>
      <c r="B146">
        <v>0</v>
      </c>
      <c r="D146" s="9"/>
      <c r="E146" s="9"/>
      <c r="F146" s="10">
        <v>45022</v>
      </c>
      <c r="G146">
        <v>0</v>
      </c>
    </row>
    <row r="147" spans="1:7" x14ac:dyDescent="0.2">
      <c r="A147" s="7">
        <v>45023</v>
      </c>
      <c r="B147">
        <v>0</v>
      </c>
      <c r="D147" s="9"/>
      <c r="E147" s="9"/>
      <c r="F147" s="10">
        <v>45023</v>
      </c>
      <c r="G147">
        <v>0</v>
      </c>
    </row>
    <row r="148" spans="1:7" x14ac:dyDescent="0.2">
      <c r="A148" s="7">
        <v>45024</v>
      </c>
      <c r="B148">
        <v>0</v>
      </c>
      <c r="D148" s="9"/>
      <c r="E148" s="9"/>
      <c r="F148" s="10">
        <v>45024</v>
      </c>
      <c r="G148">
        <v>0</v>
      </c>
    </row>
    <row r="149" spans="1:7" x14ac:dyDescent="0.2">
      <c r="A149" s="7">
        <v>45025</v>
      </c>
      <c r="B149">
        <v>0</v>
      </c>
      <c r="D149" s="9"/>
      <c r="E149" s="9"/>
      <c r="F149" s="10">
        <v>45025</v>
      </c>
      <c r="G149">
        <v>0</v>
      </c>
    </row>
    <row r="150" spans="1:7" x14ac:dyDescent="0.2">
      <c r="A150" s="7">
        <v>45026</v>
      </c>
      <c r="B150">
        <v>1</v>
      </c>
      <c r="D150" s="9"/>
      <c r="E150" s="9"/>
      <c r="F150" s="10">
        <v>45026</v>
      </c>
      <c r="G150">
        <v>300</v>
      </c>
    </row>
    <row r="151" spans="1:7" x14ac:dyDescent="0.2">
      <c r="A151" s="7">
        <v>45027</v>
      </c>
      <c r="B151">
        <v>0</v>
      </c>
      <c r="D151" s="9"/>
      <c r="E151" s="9"/>
      <c r="F151" s="10">
        <v>45027</v>
      </c>
      <c r="G151">
        <v>0</v>
      </c>
    </row>
    <row r="152" spans="1:7" x14ac:dyDescent="0.2">
      <c r="A152" s="7">
        <v>45028</v>
      </c>
      <c r="B152">
        <v>1</v>
      </c>
      <c r="D152" s="9"/>
      <c r="E152" s="9"/>
      <c r="F152" s="10">
        <v>45028</v>
      </c>
      <c r="G152">
        <v>450</v>
      </c>
    </row>
    <row r="153" spans="1:7" x14ac:dyDescent="0.2">
      <c r="A153" s="7">
        <v>45029</v>
      </c>
      <c r="B153">
        <v>0</v>
      </c>
      <c r="D153" s="9"/>
      <c r="E153" s="9"/>
      <c r="F153" s="10">
        <v>45029</v>
      </c>
      <c r="G153">
        <v>0</v>
      </c>
    </row>
    <row r="154" spans="1:7" x14ac:dyDescent="0.2">
      <c r="A154" s="7">
        <v>45030</v>
      </c>
      <c r="B154">
        <v>0</v>
      </c>
      <c r="D154" s="9"/>
      <c r="E154" s="9"/>
      <c r="F154" s="10">
        <v>45030</v>
      </c>
      <c r="G154">
        <v>0</v>
      </c>
    </row>
    <row r="155" spans="1:7" x14ac:dyDescent="0.2">
      <c r="A155" s="7">
        <v>45031</v>
      </c>
      <c r="B155">
        <v>0</v>
      </c>
      <c r="D155" s="9"/>
      <c r="E155" s="9"/>
      <c r="F155" s="10">
        <v>45031</v>
      </c>
      <c r="G155">
        <v>0</v>
      </c>
    </row>
    <row r="156" spans="1:7" x14ac:dyDescent="0.2">
      <c r="A156" s="7">
        <v>45032</v>
      </c>
      <c r="B156">
        <v>0</v>
      </c>
      <c r="D156" s="9"/>
      <c r="E156" s="9"/>
      <c r="F156" s="10">
        <v>45032</v>
      </c>
      <c r="G156">
        <v>0</v>
      </c>
    </row>
    <row r="157" spans="1:7" x14ac:dyDescent="0.2">
      <c r="A157" s="7">
        <v>45033</v>
      </c>
      <c r="B157">
        <v>0</v>
      </c>
      <c r="D157" s="9"/>
      <c r="E157" s="9"/>
      <c r="F157" s="10">
        <v>45033</v>
      </c>
      <c r="G157">
        <v>0</v>
      </c>
    </row>
    <row r="158" spans="1:7" x14ac:dyDescent="0.2">
      <c r="A158" s="7">
        <v>45034</v>
      </c>
      <c r="B158">
        <v>0</v>
      </c>
      <c r="D158" s="9"/>
      <c r="E158" s="9"/>
      <c r="F158" s="10">
        <v>45034</v>
      </c>
      <c r="G158">
        <v>0</v>
      </c>
    </row>
    <row r="159" spans="1:7" x14ac:dyDescent="0.2">
      <c r="A159" s="7">
        <v>45035</v>
      </c>
      <c r="B159">
        <v>0</v>
      </c>
      <c r="D159" s="9"/>
      <c r="E159" s="9"/>
      <c r="F159" s="10">
        <v>45035</v>
      </c>
      <c r="G159">
        <v>0</v>
      </c>
    </row>
    <row r="160" spans="1:7" x14ac:dyDescent="0.2">
      <c r="A160" s="7">
        <v>45036</v>
      </c>
      <c r="B160">
        <v>1</v>
      </c>
      <c r="D160" s="9"/>
      <c r="E160" s="9"/>
      <c r="F160" s="10">
        <v>45036</v>
      </c>
      <c r="G160">
        <v>700</v>
      </c>
    </row>
    <row r="161" spans="1:7" x14ac:dyDescent="0.2">
      <c r="A161" s="7">
        <v>45037</v>
      </c>
      <c r="B161">
        <v>0</v>
      </c>
      <c r="D161" s="9"/>
      <c r="E161" s="9"/>
      <c r="F161" s="10">
        <v>45037</v>
      </c>
      <c r="G161">
        <v>0</v>
      </c>
    </row>
    <row r="162" spans="1:7" x14ac:dyDescent="0.2">
      <c r="A162" s="7">
        <v>45038</v>
      </c>
      <c r="B162">
        <v>0</v>
      </c>
      <c r="D162" s="9"/>
      <c r="E162" s="9"/>
      <c r="F162" s="10">
        <v>45038</v>
      </c>
      <c r="G162">
        <v>0</v>
      </c>
    </row>
    <row r="163" spans="1:7" x14ac:dyDescent="0.2">
      <c r="A163" s="7">
        <v>45039</v>
      </c>
      <c r="B163">
        <v>0</v>
      </c>
      <c r="D163" s="9"/>
      <c r="E163" s="9"/>
      <c r="F163" s="10">
        <v>45039</v>
      </c>
      <c r="G163">
        <v>0</v>
      </c>
    </row>
    <row r="164" spans="1:7" x14ac:dyDescent="0.2">
      <c r="A164" s="7">
        <v>45040</v>
      </c>
      <c r="B164">
        <v>1</v>
      </c>
      <c r="D164" s="9"/>
      <c r="E164" s="9"/>
      <c r="F164" s="10">
        <v>45040</v>
      </c>
      <c r="G164">
        <v>300</v>
      </c>
    </row>
    <row r="165" spans="1:7" x14ac:dyDescent="0.2">
      <c r="A165" s="7">
        <v>45041</v>
      </c>
      <c r="B165">
        <v>1</v>
      </c>
      <c r="D165" s="9"/>
      <c r="E165" s="9"/>
      <c r="F165" s="10">
        <v>45041</v>
      </c>
      <c r="G165">
        <v>450</v>
      </c>
    </row>
    <row r="166" spans="1:7" x14ac:dyDescent="0.2">
      <c r="A166" s="7">
        <v>45042</v>
      </c>
      <c r="B166">
        <v>0</v>
      </c>
      <c r="D166" s="9"/>
      <c r="E166" s="9"/>
      <c r="F166" s="10">
        <v>45042</v>
      </c>
      <c r="G166">
        <v>0</v>
      </c>
    </row>
    <row r="167" spans="1:7" x14ac:dyDescent="0.2">
      <c r="A167" s="7">
        <v>45043</v>
      </c>
      <c r="B167">
        <v>0</v>
      </c>
      <c r="D167" s="9"/>
      <c r="E167" s="9"/>
      <c r="F167" s="10">
        <v>45043</v>
      </c>
      <c r="G167">
        <v>0</v>
      </c>
    </row>
    <row r="168" spans="1:7" x14ac:dyDescent="0.2">
      <c r="A168" s="7">
        <v>45044</v>
      </c>
      <c r="B168">
        <v>0</v>
      </c>
      <c r="D168" s="9"/>
      <c r="E168" s="9"/>
      <c r="F168" s="10">
        <v>45044</v>
      </c>
      <c r="G168">
        <v>0</v>
      </c>
    </row>
    <row r="169" spans="1:7" x14ac:dyDescent="0.2">
      <c r="A169" s="7">
        <v>45045</v>
      </c>
      <c r="B169">
        <v>0</v>
      </c>
      <c r="D169" s="9"/>
      <c r="E169" s="9"/>
      <c r="F169" s="10">
        <v>45045</v>
      </c>
      <c r="G169">
        <v>0</v>
      </c>
    </row>
    <row r="170" spans="1:7" x14ac:dyDescent="0.2">
      <c r="A170" s="7">
        <v>45046</v>
      </c>
      <c r="B170">
        <v>0</v>
      </c>
      <c r="D170" s="9"/>
      <c r="E170" s="9"/>
      <c r="F170" s="10">
        <v>45046</v>
      </c>
      <c r="G170">
        <v>0</v>
      </c>
    </row>
    <row r="171" spans="1:7" x14ac:dyDescent="0.2">
      <c r="A171" s="7">
        <v>45047</v>
      </c>
      <c r="B171">
        <v>0</v>
      </c>
      <c r="D171" s="9"/>
      <c r="E171" s="9"/>
      <c r="F171" s="10">
        <v>45047</v>
      </c>
      <c r="G171">
        <v>0</v>
      </c>
    </row>
    <row r="172" spans="1:7" x14ac:dyDescent="0.2">
      <c r="A172" s="7">
        <v>45048</v>
      </c>
      <c r="B172">
        <v>1</v>
      </c>
      <c r="D172" s="9"/>
      <c r="E172" s="9"/>
      <c r="F172" s="10">
        <v>45048</v>
      </c>
      <c r="G172">
        <v>700</v>
      </c>
    </row>
    <row r="173" spans="1:7" x14ac:dyDescent="0.2">
      <c r="A173" s="7">
        <v>45049</v>
      </c>
      <c r="B173">
        <v>0</v>
      </c>
      <c r="D173" s="9"/>
      <c r="E173" s="9"/>
      <c r="F173" s="10">
        <v>45049</v>
      </c>
      <c r="G173">
        <v>0</v>
      </c>
    </row>
    <row r="174" spans="1:7" x14ac:dyDescent="0.2">
      <c r="A174" s="7">
        <v>45050</v>
      </c>
      <c r="B174">
        <v>0</v>
      </c>
      <c r="D174" s="9"/>
      <c r="E174" s="9"/>
      <c r="F174" s="10">
        <v>45050</v>
      </c>
      <c r="G174">
        <v>0</v>
      </c>
    </row>
    <row r="175" spans="1:7" x14ac:dyDescent="0.2">
      <c r="A175" s="7">
        <v>45051</v>
      </c>
      <c r="B175">
        <v>0</v>
      </c>
      <c r="D175" s="9"/>
      <c r="E175" s="9"/>
      <c r="F175" s="10">
        <v>45051</v>
      </c>
      <c r="G175">
        <v>0</v>
      </c>
    </row>
    <row r="176" spans="1:7" x14ac:dyDescent="0.2">
      <c r="A176" s="7">
        <v>45052</v>
      </c>
      <c r="B176">
        <v>0</v>
      </c>
      <c r="D176" s="9"/>
      <c r="E176" s="9"/>
      <c r="F176" s="10">
        <v>45052</v>
      </c>
      <c r="G176">
        <v>0</v>
      </c>
    </row>
    <row r="177" spans="1:7" x14ac:dyDescent="0.2">
      <c r="A177" s="7">
        <v>45053</v>
      </c>
      <c r="B177">
        <v>0</v>
      </c>
      <c r="D177" s="9"/>
      <c r="E177" s="9"/>
      <c r="F177" s="10">
        <v>45053</v>
      </c>
      <c r="G177">
        <v>0</v>
      </c>
    </row>
    <row r="178" spans="1:7" x14ac:dyDescent="0.2">
      <c r="A178" s="7">
        <v>45054</v>
      </c>
      <c r="B178">
        <v>0</v>
      </c>
      <c r="D178" s="9"/>
      <c r="E178" s="9"/>
      <c r="F178" s="10">
        <v>45054</v>
      </c>
      <c r="G178">
        <v>0</v>
      </c>
    </row>
    <row r="179" spans="1:7" x14ac:dyDescent="0.2">
      <c r="A179" s="7">
        <v>45055</v>
      </c>
      <c r="B179">
        <v>0</v>
      </c>
      <c r="D179" s="9"/>
      <c r="E179" s="9"/>
      <c r="F179" s="10">
        <v>45055</v>
      </c>
      <c r="G179">
        <v>0</v>
      </c>
    </row>
    <row r="180" spans="1:7" x14ac:dyDescent="0.2">
      <c r="A180" s="7">
        <v>45056</v>
      </c>
      <c r="B180">
        <v>0</v>
      </c>
      <c r="D180" s="9"/>
      <c r="E180" s="9"/>
      <c r="F180" s="10">
        <v>45056</v>
      </c>
      <c r="G180">
        <v>0</v>
      </c>
    </row>
    <row r="181" spans="1:7" x14ac:dyDescent="0.2">
      <c r="A181" s="7">
        <v>45057</v>
      </c>
      <c r="B181">
        <v>0</v>
      </c>
      <c r="D181" s="9"/>
      <c r="E181" s="9"/>
      <c r="F181" s="10">
        <v>45057</v>
      </c>
      <c r="G181">
        <v>0</v>
      </c>
    </row>
    <row r="182" spans="1:7" x14ac:dyDescent="0.2">
      <c r="A182" s="7">
        <v>45058</v>
      </c>
      <c r="B182">
        <v>0</v>
      </c>
      <c r="D182" s="9"/>
      <c r="E182" s="9"/>
      <c r="F182" s="10">
        <v>45058</v>
      </c>
      <c r="G182">
        <v>0</v>
      </c>
    </row>
    <row r="183" spans="1:7" x14ac:dyDescent="0.2">
      <c r="A183" s="7">
        <v>45059</v>
      </c>
      <c r="B183">
        <v>0</v>
      </c>
      <c r="D183" s="9"/>
      <c r="E183" s="9"/>
      <c r="F183" s="10">
        <v>45059</v>
      </c>
      <c r="G183">
        <v>0</v>
      </c>
    </row>
    <row r="184" spans="1:7" x14ac:dyDescent="0.2">
      <c r="A184" s="7">
        <v>45060</v>
      </c>
      <c r="B184">
        <v>0</v>
      </c>
      <c r="D184" s="9"/>
      <c r="E184" s="9"/>
      <c r="F184" s="10">
        <v>45060</v>
      </c>
      <c r="G184">
        <v>0</v>
      </c>
    </row>
    <row r="185" spans="1:7" x14ac:dyDescent="0.2">
      <c r="A185" s="7">
        <v>45061</v>
      </c>
      <c r="B185">
        <v>0</v>
      </c>
      <c r="D185" s="9"/>
      <c r="E185" s="9"/>
      <c r="F185" s="10">
        <v>45061</v>
      </c>
      <c r="G185">
        <v>0</v>
      </c>
    </row>
    <row r="186" spans="1:7" x14ac:dyDescent="0.2">
      <c r="A186" s="7">
        <v>45062</v>
      </c>
      <c r="B186">
        <v>0</v>
      </c>
      <c r="D186" s="9"/>
      <c r="E186" s="9"/>
      <c r="F186" s="10">
        <v>45062</v>
      </c>
      <c r="G186">
        <v>0</v>
      </c>
    </row>
    <row r="187" spans="1:7" x14ac:dyDescent="0.2">
      <c r="A187" s="7">
        <v>45063</v>
      </c>
      <c r="B187">
        <v>0</v>
      </c>
      <c r="D187" s="9"/>
      <c r="E187" s="9"/>
      <c r="F187" s="10">
        <v>45063</v>
      </c>
      <c r="G187">
        <v>0</v>
      </c>
    </row>
    <row r="188" spans="1:7" x14ac:dyDescent="0.2">
      <c r="A188" s="7">
        <v>45064</v>
      </c>
      <c r="B188">
        <v>0</v>
      </c>
      <c r="D188" s="9"/>
      <c r="E188" s="9"/>
      <c r="F188" s="10">
        <v>45064</v>
      </c>
      <c r="G188">
        <v>0</v>
      </c>
    </row>
    <row r="189" spans="1:7" x14ac:dyDescent="0.2">
      <c r="A189" s="7">
        <v>45065</v>
      </c>
      <c r="B189">
        <v>0</v>
      </c>
      <c r="D189" s="9"/>
      <c r="E189" s="9"/>
      <c r="F189" s="10">
        <v>45065</v>
      </c>
      <c r="G189">
        <v>0</v>
      </c>
    </row>
    <row r="190" spans="1:7" x14ac:dyDescent="0.2">
      <c r="A190" s="7">
        <v>45066</v>
      </c>
      <c r="B190">
        <v>0</v>
      </c>
      <c r="D190" s="9"/>
      <c r="E190" s="9"/>
      <c r="F190" s="10">
        <v>45066</v>
      </c>
      <c r="G190">
        <v>0</v>
      </c>
    </row>
    <row r="191" spans="1:7" x14ac:dyDescent="0.2">
      <c r="A191" s="7">
        <v>45067</v>
      </c>
      <c r="B191">
        <v>0</v>
      </c>
      <c r="D191" s="9"/>
      <c r="E191" s="9"/>
      <c r="F191" s="10">
        <v>45067</v>
      </c>
      <c r="G191">
        <v>0</v>
      </c>
    </row>
    <row r="192" spans="1:7" x14ac:dyDescent="0.2">
      <c r="A192" s="7">
        <v>45068</v>
      </c>
      <c r="B192">
        <v>0</v>
      </c>
      <c r="D192" s="9"/>
      <c r="E192" s="9"/>
      <c r="F192" s="10">
        <v>45068</v>
      </c>
      <c r="G192">
        <v>0</v>
      </c>
    </row>
    <row r="193" spans="1:7" x14ac:dyDescent="0.2">
      <c r="A193" s="7">
        <v>45069</v>
      </c>
      <c r="B193">
        <v>0</v>
      </c>
      <c r="D193" s="9"/>
      <c r="E193" s="9"/>
      <c r="F193" s="10">
        <v>45069</v>
      </c>
      <c r="G193">
        <v>0</v>
      </c>
    </row>
    <row r="194" spans="1:7" x14ac:dyDescent="0.2">
      <c r="A194" s="7">
        <v>45070</v>
      </c>
      <c r="B194">
        <v>0</v>
      </c>
      <c r="D194" s="9"/>
      <c r="E194" s="9"/>
      <c r="F194" s="10">
        <v>45070</v>
      </c>
      <c r="G194">
        <v>0</v>
      </c>
    </row>
    <row r="195" spans="1:7" x14ac:dyDescent="0.2">
      <c r="A195" s="7">
        <v>45071</v>
      </c>
      <c r="B195">
        <v>1</v>
      </c>
      <c r="D195" s="9"/>
      <c r="E195" s="9"/>
      <c r="F195" s="10">
        <v>45071</v>
      </c>
      <c r="G195">
        <v>300</v>
      </c>
    </row>
    <row r="196" spans="1:7" x14ac:dyDescent="0.2">
      <c r="A196" s="7">
        <v>45072</v>
      </c>
      <c r="B196">
        <v>1</v>
      </c>
      <c r="D196" s="9"/>
      <c r="E196" s="9"/>
      <c r="F196" s="10">
        <v>45072</v>
      </c>
      <c r="G196">
        <v>450</v>
      </c>
    </row>
    <row r="197" spans="1:7" x14ac:dyDescent="0.2">
      <c r="A197" s="7">
        <v>45073</v>
      </c>
      <c r="B197">
        <v>0</v>
      </c>
      <c r="D197" s="9"/>
      <c r="E197" s="9"/>
      <c r="F197" s="10">
        <v>45073</v>
      </c>
      <c r="G197">
        <v>0</v>
      </c>
    </row>
    <row r="198" spans="1:7" x14ac:dyDescent="0.2">
      <c r="A198" s="7">
        <v>45074</v>
      </c>
      <c r="B198">
        <v>0</v>
      </c>
      <c r="D198" s="9"/>
      <c r="E198" s="9"/>
      <c r="F198" s="10">
        <v>45074</v>
      </c>
      <c r="G198">
        <v>0</v>
      </c>
    </row>
    <row r="199" spans="1:7" x14ac:dyDescent="0.2">
      <c r="A199" s="7">
        <v>45075</v>
      </c>
      <c r="B199">
        <v>0</v>
      </c>
      <c r="D199" s="9"/>
      <c r="E199" s="9"/>
      <c r="F199" s="10">
        <v>45075</v>
      </c>
      <c r="G199">
        <v>0</v>
      </c>
    </row>
    <row r="200" spans="1:7" x14ac:dyDescent="0.2">
      <c r="A200" s="7">
        <v>45076</v>
      </c>
      <c r="B200">
        <v>0</v>
      </c>
      <c r="D200" s="9"/>
      <c r="E200" s="9"/>
      <c r="F200" s="10">
        <v>45076</v>
      </c>
      <c r="G200">
        <v>0</v>
      </c>
    </row>
    <row r="201" spans="1:7" x14ac:dyDescent="0.2">
      <c r="A201" s="7">
        <v>45077</v>
      </c>
      <c r="B201">
        <v>0</v>
      </c>
      <c r="D201" s="9"/>
      <c r="E201" s="9"/>
      <c r="F201" s="10">
        <v>45077</v>
      </c>
      <c r="G201">
        <v>0</v>
      </c>
    </row>
    <row r="202" spans="1:7" x14ac:dyDescent="0.2">
      <c r="A202" s="7">
        <v>45078</v>
      </c>
      <c r="B202">
        <v>0</v>
      </c>
      <c r="D202" s="9"/>
      <c r="E202" s="9"/>
      <c r="F202" s="10">
        <v>45078</v>
      </c>
      <c r="G202">
        <v>0</v>
      </c>
    </row>
    <row r="203" spans="1:7" x14ac:dyDescent="0.2">
      <c r="A203" s="7">
        <v>45079</v>
      </c>
      <c r="B203">
        <v>0</v>
      </c>
      <c r="D203" s="9"/>
      <c r="E203" s="9"/>
      <c r="F203" s="10">
        <v>45079</v>
      </c>
      <c r="G203">
        <v>0</v>
      </c>
    </row>
    <row r="204" spans="1:7" x14ac:dyDescent="0.2">
      <c r="A204" s="7">
        <v>45080</v>
      </c>
      <c r="B204">
        <v>0</v>
      </c>
      <c r="D204" s="9"/>
      <c r="E204" s="9"/>
      <c r="F204" s="10">
        <v>45080</v>
      </c>
      <c r="G204">
        <v>0</v>
      </c>
    </row>
    <row r="205" spans="1:7" x14ac:dyDescent="0.2">
      <c r="A205" s="7">
        <v>45081</v>
      </c>
      <c r="B205">
        <v>0</v>
      </c>
      <c r="D205" s="9"/>
      <c r="E205" s="9"/>
      <c r="F205" s="10">
        <v>45081</v>
      </c>
      <c r="G205">
        <v>0</v>
      </c>
    </row>
    <row r="206" spans="1:7" x14ac:dyDescent="0.2">
      <c r="A206" s="7">
        <v>45082</v>
      </c>
      <c r="B206">
        <v>0</v>
      </c>
      <c r="D206" s="9"/>
      <c r="E206" s="9"/>
      <c r="F206" s="10">
        <v>45082</v>
      </c>
      <c r="G206">
        <v>0</v>
      </c>
    </row>
    <row r="207" spans="1:7" x14ac:dyDescent="0.2">
      <c r="A207" s="7">
        <v>45083</v>
      </c>
      <c r="B207">
        <v>0</v>
      </c>
      <c r="D207" s="9"/>
      <c r="E207" s="9"/>
      <c r="F207" s="10">
        <v>45083</v>
      </c>
      <c r="G207">
        <v>0</v>
      </c>
    </row>
    <row r="208" spans="1:7" x14ac:dyDescent="0.2">
      <c r="A208" s="7">
        <v>45084</v>
      </c>
      <c r="B208">
        <v>0</v>
      </c>
      <c r="D208" s="9"/>
      <c r="E208" s="9"/>
      <c r="F208" s="10">
        <v>45084</v>
      </c>
      <c r="G208">
        <v>0</v>
      </c>
    </row>
    <row r="209" spans="1:7" x14ac:dyDescent="0.2">
      <c r="A209" s="7">
        <v>45085</v>
      </c>
      <c r="B209">
        <v>0</v>
      </c>
      <c r="D209" s="9"/>
      <c r="E209" s="9"/>
      <c r="F209" s="10">
        <v>45085</v>
      </c>
      <c r="G209">
        <v>0</v>
      </c>
    </row>
    <row r="210" spans="1:7" x14ac:dyDescent="0.2">
      <c r="A210" s="7">
        <v>45086</v>
      </c>
      <c r="B210">
        <v>0</v>
      </c>
      <c r="D210" s="9"/>
      <c r="E210" s="9"/>
      <c r="F210" s="10">
        <v>45086</v>
      </c>
      <c r="G210">
        <v>0</v>
      </c>
    </row>
    <row r="211" spans="1:7" x14ac:dyDescent="0.2">
      <c r="A211" s="7">
        <v>45087</v>
      </c>
      <c r="B211">
        <v>0</v>
      </c>
      <c r="D211" s="9"/>
      <c r="E211" s="9"/>
      <c r="F211" s="10">
        <v>45087</v>
      </c>
      <c r="G211">
        <v>0</v>
      </c>
    </row>
    <row r="212" spans="1:7" x14ac:dyDescent="0.2">
      <c r="A212" s="7">
        <v>45088</v>
      </c>
      <c r="B212">
        <v>0</v>
      </c>
      <c r="D212" s="9"/>
      <c r="E212" s="9"/>
      <c r="F212" s="10">
        <v>45088</v>
      </c>
      <c r="G212">
        <v>0</v>
      </c>
    </row>
    <row r="213" spans="1:7" x14ac:dyDescent="0.2">
      <c r="A213" s="7">
        <v>45089</v>
      </c>
      <c r="B213">
        <v>0</v>
      </c>
      <c r="D213" s="9"/>
      <c r="E213" s="9"/>
      <c r="F213" s="10">
        <v>45089</v>
      </c>
      <c r="G213">
        <v>0</v>
      </c>
    </row>
    <row r="214" spans="1:7" x14ac:dyDescent="0.2">
      <c r="A214" s="7">
        <v>45090</v>
      </c>
      <c r="B214">
        <v>0</v>
      </c>
      <c r="D214" s="9"/>
      <c r="E214" s="9"/>
      <c r="F214" s="10">
        <v>45090</v>
      </c>
      <c r="G214">
        <v>0</v>
      </c>
    </row>
    <row r="215" spans="1:7" x14ac:dyDescent="0.2">
      <c r="A215" s="7">
        <v>45091</v>
      </c>
      <c r="B215">
        <v>0</v>
      </c>
      <c r="D215" s="9"/>
      <c r="E215" s="9"/>
      <c r="F215" s="10">
        <v>45091</v>
      </c>
      <c r="G215">
        <v>0</v>
      </c>
    </row>
    <row r="216" spans="1:7" x14ac:dyDescent="0.2">
      <c r="A216" s="7">
        <v>45092</v>
      </c>
      <c r="B216">
        <v>0</v>
      </c>
      <c r="D216" s="9"/>
      <c r="E216" s="9"/>
      <c r="F216" s="10">
        <v>45092</v>
      </c>
      <c r="G216">
        <v>0</v>
      </c>
    </row>
    <row r="217" spans="1:7" x14ac:dyDescent="0.2">
      <c r="A217" s="7">
        <v>45093</v>
      </c>
      <c r="B217">
        <v>0</v>
      </c>
      <c r="D217" s="9"/>
      <c r="E217" s="9"/>
      <c r="F217" s="10">
        <v>45093</v>
      </c>
      <c r="G217">
        <v>0</v>
      </c>
    </row>
    <row r="218" spans="1:7" x14ac:dyDescent="0.2">
      <c r="A218" s="7">
        <v>45094</v>
      </c>
      <c r="B218">
        <v>1</v>
      </c>
      <c r="D218" s="9"/>
      <c r="E218" s="9"/>
      <c r="F218" s="10">
        <v>45094</v>
      </c>
      <c r="G218">
        <v>700</v>
      </c>
    </row>
    <row r="219" spans="1:7" x14ac:dyDescent="0.2">
      <c r="A219" s="7">
        <v>45095</v>
      </c>
      <c r="B219">
        <v>0</v>
      </c>
      <c r="D219" s="9"/>
      <c r="E219" s="9"/>
      <c r="F219" s="10">
        <v>45095</v>
      </c>
      <c r="G219">
        <v>0</v>
      </c>
    </row>
    <row r="220" spans="1:7" x14ac:dyDescent="0.2">
      <c r="A220" s="7">
        <v>45096</v>
      </c>
      <c r="B220">
        <v>0</v>
      </c>
      <c r="D220" s="9"/>
      <c r="E220" s="9"/>
      <c r="F220" s="10">
        <v>45096</v>
      </c>
      <c r="G220">
        <v>0</v>
      </c>
    </row>
    <row r="221" spans="1:7" x14ac:dyDescent="0.2">
      <c r="A221" s="7">
        <v>45097</v>
      </c>
      <c r="B221">
        <v>0</v>
      </c>
      <c r="D221" s="9"/>
      <c r="E221" s="9"/>
      <c r="F221" s="10">
        <v>45097</v>
      </c>
      <c r="G221">
        <v>0</v>
      </c>
    </row>
    <row r="222" spans="1:7" x14ac:dyDescent="0.2">
      <c r="A222" s="7">
        <v>45098</v>
      </c>
      <c r="B222">
        <v>0</v>
      </c>
      <c r="D222" s="9"/>
      <c r="E222" s="9"/>
      <c r="F222" s="10">
        <v>45098</v>
      </c>
      <c r="G222">
        <v>0</v>
      </c>
    </row>
    <row r="223" spans="1:7" x14ac:dyDescent="0.2">
      <c r="A223" s="7">
        <v>45099</v>
      </c>
      <c r="B223">
        <v>0</v>
      </c>
      <c r="D223" s="9"/>
      <c r="E223" s="9"/>
      <c r="F223" s="10">
        <v>45099</v>
      </c>
      <c r="G223">
        <v>0</v>
      </c>
    </row>
    <row r="224" spans="1:7" x14ac:dyDescent="0.2">
      <c r="A224" s="7">
        <v>45100</v>
      </c>
      <c r="B224">
        <v>0</v>
      </c>
      <c r="D224" s="9"/>
      <c r="E224" s="9"/>
      <c r="F224" s="10">
        <v>45100</v>
      </c>
      <c r="G224">
        <v>0</v>
      </c>
    </row>
    <row r="225" spans="1:7" x14ac:dyDescent="0.2">
      <c r="A225" s="7">
        <v>45101</v>
      </c>
      <c r="B225">
        <v>1</v>
      </c>
      <c r="D225" s="9"/>
      <c r="E225" s="9"/>
      <c r="F225" s="10">
        <v>45101</v>
      </c>
      <c r="G225">
        <v>300</v>
      </c>
    </row>
    <row r="226" spans="1:7" x14ac:dyDescent="0.2">
      <c r="A226" s="7">
        <v>45102</v>
      </c>
      <c r="B226">
        <v>0</v>
      </c>
      <c r="D226" s="9"/>
      <c r="E226" s="9"/>
      <c r="F226" s="10">
        <v>45102</v>
      </c>
      <c r="G226">
        <v>0</v>
      </c>
    </row>
    <row r="227" spans="1:7" x14ac:dyDescent="0.2">
      <c r="A227" s="7">
        <v>45103</v>
      </c>
      <c r="B227">
        <v>0</v>
      </c>
      <c r="D227" s="9"/>
      <c r="E227" s="9"/>
      <c r="F227" s="10">
        <v>45103</v>
      </c>
      <c r="G227">
        <v>0</v>
      </c>
    </row>
    <row r="228" spans="1:7" x14ac:dyDescent="0.2">
      <c r="A228" s="7">
        <v>45104</v>
      </c>
      <c r="B228">
        <v>0</v>
      </c>
      <c r="D228" s="9"/>
      <c r="E228" s="9"/>
      <c r="F228" s="10">
        <v>45104</v>
      </c>
      <c r="G228">
        <v>0</v>
      </c>
    </row>
    <row r="229" spans="1:7" x14ac:dyDescent="0.2">
      <c r="A229" s="7">
        <v>45105</v>
      </c>
      <c r="B229">
        <v>0</v>
      </c>
      <c r="D229" s="9"/>
      <c r="E229" s="9"/>
      <c r="F229" s="10">
        <v>45105</v>
      </c>
      <c r="G229">
        <v>0</v>
      </c>
    </row>
    <row r="230" spans="1:7" x14ac:dyDescent="0.2">
      <c r="A230" s="7">
        <v>45106</v>
      </c>
      <c r="B230">
        <v>0</v>
      </c>
      <c r="D230" s="9"/>
      <c r="E230" s="9"/>
      <c r="F230" s="10">
        <v>45106</v>
      </c>
      <c r="G230">
        <v>0</v>
      </c>
    </row>
    <row r="231" spans="1:7" x14ac:dyDescent="0.2">
      <c r="A231" s="7">
        <v>45107</v>
      </c>
      <c r="B231">
        <v>0</v>
      </c>
      <c r="D231" s="9"/>
      <c r="E231" s="9"/>
      <c r="F231" s="10">
        <v>45107</v>
      </c>
      <c r="G231">
        <v>0</v>
      </c>
    </row>
    <row r="232" spans="1:7" x14ac:dyDescent="0.2">
      <c r="A232" s="7">
        <v>45108</v>
      </c>
      <c r="B232">
        <v>0</v>
      </c>
      <c r="D232" s="9"/>
      <c r="E232" s="9"/>
      <c r="F232" s="10">
        <v>45108</v>
      </c>
      <c r="G232">
        <v>0</v>
      </c>
    </row>
    <row r="233" spans="1:7" x14ac:dyDescent="0.2">
      <c r="A233" s="7">
        <v>45109</v>
      </c>
      <c r="B233">
        <v>0</v>
      </c>
      <c r="D233" s="9"/>
      <c r="E233" s="9"/>
      <c r="F233" s="10">
        <v>45109</v>
      </c>
      <c r="G233">
        <v>0</v>
      </c>
    </row>
    <row r="234" spans="1:7" x14ac:dyDescent="0.2">
      <c r="A234" s="7">
        <v>45110</v>
      </c>
      <c r="B234">
        <v>0</v>
      </c>
      <c r="D234" s="9"/>
      <c r="E234" s="9"/>
      <c r="F234" s="10">
        <v>45110</v>
      </c>
      <c r="G234">
        <v>0</v>
      </c>
    </row>
    <row r="235" spans="1:7" x14ac:dyDescent="0.2">
      <c r="A235" s="7">
        <v>45111</v>
      </c>
      <c r="B235">
        <v>0</v>
      </c>
      <c r="D235" s="9"/>
      <c r="E235" s="9"/>
      <c r="F235" s="10">
        <v>45111</v>
      </c>
      <c r="G235">
        <v>0</v>
      </c>
    </row>
    <row r="236" spans="1:7" x14ac:dyDescent="0.2">
      <c r="A236" s="7">
        <v>45112</v>
      </c>
      <c r="B236">
        <v>0</v>
      </c>
      <c r="D236" s="9"/>
      <c r="E236" s="9"/>
      <c r="F236" s="10">
        <v>45112</v>
      </c>
      <c r="G236">
        <v>0</v>
      </c>
    </row>
    <row r="237" spans="1:7" x14ac:dyDescent="0.2">
      <c r="A237" s="7">
        <v>45113</v>
      </c>
      <c r="B237">
        <v>1</v>
      </c>
      <c r="D237" s="9"/>
      <c r="E237" s="9"/>
      <c r="F237" s="10">
        <v>45113</v>
      </c>
      <c r="G237">
        <v>450</v>
      </c>
    </row>
    <row r="238" spans="1:7" x14ac:dyDescent="0.2">
      <c r="A238" s="7">
        <v>45114</v>
      </c>
      <c r="B238">
        <v>1</v>
      </c>
      <c r="D238" s="9"/>
      <c r="E238" s="9"/>
      <c r="F238" s="10">
        <v>45114</v>
      </c>
      <c r="G238">
        <v>700</v>
      </c>
    </row>
    <row r="239" spans="1:7" x14ac:dyDescent="0.2">
      <c r="A239" s="7">
        <v>45115</v>
      </c>
      <c r="B239">
        <v>0</v>
      </c>
      <c r="D239" s="9"/>
      <c r="E239" s="9"/>
      <c r="F239" s="10">
        <v>45115</v>
      </c>
      <c r="G239">
        <v>0</v>
      </c>
    </row>
    <row r="240" spans="1:7" x14ac:dyDescent="0.2">
      <c r="A240" s="7">
        <v>45116</v>
      </c>
      <c r="B240">
        <v>0</v>
      </c>
      <c r="D240" s="9"/>
      <c r="E240" s="9"/>
      <c r="F240" s="10">
        <v>45116</v>
      </c>
      <c r="G240">
        <v>0</v>
      </c>
    </row>
    <row r="241" spans="1:7" x14ac:dyDescent="0.2">
      <c r="A241" s="7">
        <v>45117</v>
      </c>
      <c r="B241">
        <v>0</v>
      </c>
      <c r="D241" s="9"/>
      <c r="E241" s="9"/>
      <c r="F241" s="10">
        <v>45117</v>
      </c>
      <c r="G241">
        <v>0</v>
      </c>
    </row>
    <row r="242" spans="1:7" x14ac:dyDescent="0.2">
      <c r="A242" s="7">
        <v>45118</v>
      </c>
      <c r="B242">
        <v>0</v>
      </c>
      <c r="D242" s="9"/>
      <c r="E242" s="9"/>
      <c r="F242" s="10">
        <v>45118</v>
      </c>
      <c r="G242">
        <v>0</v>
      </c>
    </row>
    <row r="243" spans="1:7" x14ac:dyDescent="0.2">
      <c r="A243" s="7">
        <v>45119</v>
      </c>
      <c r="B243">
        <v>0</v>
      </c>
      <c r="D243" s="9"/>
      <c r="E243" s="9"/>
      <c r="F243" s="10">
        <v>45119</v>
      </c>
      <c r="G243">
        <v>0</v>
      </c>
    </row>
    <row r="244" spans="1:7" x14ac:dyDescent="0.2">
      <c r="A244" s="7">
        <v>45120</v>
      </c>
      <c r="B244">
        <v>0</v>
      </c>
      <c r="D244" s="9"/>
      <c r="E244" s="9"/>
      <c r="F244" s="10">
        <v>45120</v>
      </c>
      <c r="G244">
        <v>0</v>
      </c>
    </row>
    <row r="245" spans="1:7" x14ac:dyDescent="0.2">
      <c r="A245" s="7">
        <v>45121</v>
      </c>
      <c r="B245">
        <v>0</v>
      </c>
      <c r="D245" s="9"/>
      <c r="E245" s="9"/>
      <c r="F245" s="10">
        <v>45121</v>
      </c>
      <c r="G245">
        <v>0</v>
      </c>
    </row>
    <row r="246" spans="1:7" x14ac:dyDescent="0.2">
      <c r="A246" s="7">
        <v>45122</v>
      </c>
      <c r="B246">
        <v>0</v>
      </c>
      <c r="D246" s="9"/>
      <c r="E246" s="9"/>
      <c r="F246" s="10">
        <v>45122</v>
      </c>
      <c r="G246">
        <v>0</v>
      </c>
    </row>
    <row r="247" spans="1:7" x14ac:dyDescent="0.2">
      <c r="A247" s="7">
        <v>45123</v>
      </c>
      <c r="B247">
        <v>0</v>
      </c>
      <c r="D247" s="9"/>
      <c r="E247" s="9"/>
      <c r="F247" s="10">
        <v>45123</v>
      </c>
      <c r="G247">
        <v>0</v>
      </c>
    </row>
    <row r="248" spans="1:7" x14ac:dyDescent="0.2">
      <c r="A248" s="7">
        <v>45124</v>
      </c>
      <c r="B248">
        <v>0</v>
      </c>
      <c r="D248" s="9"/>
      <c r="E248" s="9"/>
      <c r="F248" s="10">
        <v>45124</v>
      </c>
      <c r="G248">
        <v>0</v>
      </c>
    </row>
    <row r="249" spans="1:7" x14ac:dyDescent="0.2">
      <c r="A249" s="7">
        <v>45125</v>
      </c>
      <c r="B249">
        <v>0</v>
      </c>
      <c r="D249" s="9"/>
      <c r="E249" s="9"/>
      <c r="F249" s="10">
        <v>45125</v>
      </c>
      <c r="G249">
        <v>0</v>
      </c>
    </row>
    <row r="250" spans="1:7" x14ac:dyDescent="0.2">
      <c r="A250" s="7">
        <v>45126</v>
      </c>
      <c r="B250">
        <v>0</v>
      </c>
      <c r="D250" s="9"/>
      <c r="E250" s="9"/>
      <c r="F250" s="10">
        <v>45126</v>
      </c>
      <c r="G250">
        <v>0</v>
      </c>
    </row>
    <row r="251" spans="1:7" x14ac:dyDescent="0.2">
      <c r="A251" s="7">
        <v>45127</v>
      </c>
      <c r="B251">
        <v>0</v>
      </c>
      <c r="D251" s="9"/>
      <c r="E251" s="9"/>
      <c r="F251" s="10">
        <v>45127</v>
      </c>
      <c r="G251">
        <v>0</v>
      </c>
    </row>
    <row r="252" spans="1:7" x14ac:dyDescent="0.2">
      <c r="A252" s="7">
        <v>45128</v>
      </c>
      <c r="B252">
        <v>0</v>
      </c>
      <c r="D252" s="9"/>
      <c r="E252" s="9"/>
      <c r="F252" s="10">
        <v>45128</v>
      </c>
      <c r="G252">
        <v>0</v>
      </c>
    </row>
    <row r="253" spans="1:7" x14ac:dyDescent="0.2">
      <c r="A253" s="7">
        <v>45129</v>
      </c>
      <c r="B253">
        <v>0</v>
      </c>
      <c r="D253" s="9"/>
      <c r="E253" s="9"/>
      <c r="F253" s="10">
        <v>45129</v>
      </c>
      <c r="G253">
        <v>0</v>
      </c>
    </row>
    <row r="254" spans="1:7" x14ac:dyDescent="0.2">
      <c r="A254" s="7">
        <v>45130</v>
      </c>
      <c r="B254">
        <v>0</v>
      </c>
      <c r="D254" s="9"/>
      <c r="E254" s="9"/>
      <c r="F254" s="10">
        <v>45130</v>
      </c>
      <c r="G254">
        <v>0</v>
      </c>
    </row>
    <row r="255" spans="1:7" x14ac:dyDescent="0.2">
      <c r="A255" s="7">
        <v>45131</v>
      </c>
      <c r="B255">
        <v>1</v>
      </c>
      <c r="D255" s="9"/>
      <c r="E255" s="9"/>
      <c r="F255" s="10">
        <v>45131</v>
      </c>
      <c r="G255">
        <v>300</v>
      </c>
    </row>
    <row r="256" spans="1:7" x14ac:dyDescent="0.2">
      <c r="A256" s="7">
        <v>45132</v>
      </c>
      <c r="B256">
        <v>0</v>
      </c>
      <c r="D256" s="9"/>
      <c r="E256" s="9"/>
      <c r="F256" s="10">
        <v>45132</v>
      </c>
      <c r="G256">
        <v>0</v>
      </c>
    </row>
    <row r="257" spans="1:7" x14ac:dyDescent="0.2">
      <c r="A257" s="7">
        <v>45133</v>
      </c>
      <c r="B257">
        <v>1</v>
      </c>
      <c r="D257" s="9"/>
      <c r="E257" s="9"/>
      <c r="F257" s="10">
        <v>45133</v>
      </c>
      <c r="G257">
        <v>450</v>
      </c>
    </row>
    <row r="258" spans="1:7" x14ac:dyDescent="0.2">
      <c r="A258" s="7">
        <v>45134</v>
      </c>
      <c r="B258">
        <v>0</v>
      </c>
      <c r="D258" s="9"/>
      <c r="E258" s="9"/>
      <c r="F258" s="10">
        <v>45134</v>
      </c>
      <c r="G258">
        <v>0</v>
      </c>
    </row>
    <row r="259" spans="1:7" x14ac:dyDescent="0.2">
      <c r="A259" s="7">
        <v>45135</v>
      </c>
      <c r="B259">
        <v>0</v>
      </c>
      <c r="D259" s="9"/>
      <c r="E259" s="9"/>
      <c r="F259" s="10">
        <v>45135</v>
      </c>
      <c r="G259">
        <v>0</v>
      </c>
    </row>
    <row r="260" spans="1:7" x14ac:dyDescent="0.2">
      <c r="A260" s="7">
        <v>45136</v>
      </c>
      <c r="B260">
        <v>0</v>
      </c>
      <c r="D260" s="9"/>
      <c r="E260" s="9"/>
      <c r="F260" s="10">
        <v>45136</v>
      </c>
      <c r="G260">
        <v>0</v>
      </c>
    </row>
    <row r="261" spans="1:7" x14ac:dyDescent="0.2">
      <c r="A261" s="7">
        <v>45137</v>
      </c>
      <c r="B261">
        <v>0</v>
      </c>
      <c r="D261" s="9"/>
      <c r="E261" s="9"/>
      <c r="F261" s="10">
        <v>45137</v>
      </c>
      <c r="G261">
        <v>0</v>
      </c>
    </row>
    <row r="262" spans="1:7" x14ac:dyDescent="0.2">
      <c r="A262" s="7">
        <v>45138</v>
      </c>
      <c r="B262">
        <v>1</v>
      </c>
      <c r="D262" s="9"/>
      <c r="E262" s="9"/>
      <c r="F262" s="10">
        <v>45138</v>
      </c>
      <c r="G262">
        <v>700</v>
      </c>
    </row>
    <row r="263" spans="1:7" x14ac:dyDescent="0.2">
      <c r="A263" s="7">
        <v>45139</v>
      </c>
      <c r="B263">
        <v>0</v>
      </c>
      <c r="D263" s="9"/>
      <c r="E263" s="9"/>
      <c r="F263" s="10">
        <v>45139</v>
      </c>
      <c r="G263">
        <v>0</v>
      </c>
    </row>
    <row r="264" spans="1:7" x14ac:dyDescent="0.2">
      <c r="A264" s="7">
        <v>45140</v>
      </c>
      <c r="B264">
        <v>0</v>
      </c>
      <c r="D264" s="9"/>
      <c r="E264" s="9"/>
      <c r="F264" s="10">
        <v>45140</v>
      </c>
      <c r="G264">
        <v>0</v>
      </c>
    </row>
    <row r="265" spans="1:7" x14ac:dyDescent="0.2">
      <c r="A265" s="7">
        <v>45141</v>
      </c>
      <c r="B265">
        <v>0</v>
      </c>
      <c r="D265" s="9"/>
      <c r="E265" s="9"/>
      <c r="F265" s="10">
        <v>45141</v>
      </c>
      <c r="G265">
        <v>0</v>
      </c>
    </row>
    <row r="266" spans="1:7" x14ac:dyDescent="0.2">
      <c r="A266" s="7">
        <v>45142</v>
      </c>
      <c r="B266">
        <v>1</v>
      </c>
      <c r="D266" s="9"/>
      <c r="E266" s="9"/>
      <c r="F266" s="10">
        <v>45142</v>
      </c>
      <c r="G266">
        <v>300</v>
      </c>
    </row>
    <row r="267" spans="1:7" x14ac:dyDescent="0.2">
      <c r="A267" s="7">
        <v>45143</v>
      </c>
      <c r="B267">
        <v>0</v>
      </c>
      <c r="D267" s="9"/>
      <c r="E267" s="9"/>
      <c r="F267" s="10">
        <v>45143</v>
      </c>
      <c r="G267">
        <v>0</v>
      </c>
    </row>
    <row r="268" spans="1:7" x14ac:dyDescent="0.2">
      <c r="A268" s="7">
        <v>45144</v>
      </c>
      <c r="B268">
        <v>0</v>
      </c>
      <c r="D268" s="9"/>
      <c r="E268" s="9"/>
      <c r="F268" s="10">
        <v>45144</v>
      </c>
      <c r="G268">
        <v>0</v>
      </c>
    </row>
    <row r="269" spans="1:7" x14ac:dyDescent="0.2">
      <c r="A269" s="7">
        <v>45145</v>
      </c>
      <c r="B269">
        <v>0</v>
      </c>
      <c r="D269" s="9"/>
      <c r="E269" s="9"/>
      <c r="F269" s="10">
        <v>45145</v>
      </c>
      <c r="G269">
        <v>0</v>
      </c>
    </row>
    <row r="270" spans="1:7" x14ac:dyDescent="0.2">
      <c r="A270" s="7">
        <v>45146</v>
      </c>
      <c r="B270">
        <v>0</v>
      </c>
      <c r="D270" s="9"/>
      <c r="E270" s="9"/>
      <c r="F270" s="10">
        <v>45146</v>
      </c>
      <c r="G270">
        <v>0</v>
      </c>
    </row>
    <row r="271" spans="1:7" x14ac:dyDescent="0.2">
      <c r="A271" s="7">
        <v>45147</v>
      </c>
      <c r="B271">
        <v>0</v>
      </c>
      <c r="D271" s="9"/>
      <c r="E271" s="9"/>
      <c r="F271" s="10">
        <v>45147</v>
      </c>
      <c r="G271">
        <v>0</v>
      </c>
    </row>
    <row r="272" spans="1:7" x14ac:dyDescent="0.2">
      <c r="A272" s="7">
        <v>45148</v>
      </c>
      <c r="B272">
        <v>0</v>
      </c>
      <c r="D272" s="9"/>
      <c r="E272" s="9"/>
      <c r="F272" s="10">
        <v>45148</v>
      </c>
      <c r="G272">
        <v>0</v>
      </c>
    </row>
    <row r="273" spans="1:7" x14ac:dyDescent="0.2">
      <c r="A273" s="7">
        <v>45149</v>
      </c>
      <c r="B273">
        <v>0</v>
      </c>
      <c r="D273" s="9"/>
      <c r="E273" s="9"/>
      <c r="F273" s="10">
        <v>45149</v>
      </c>
      <c r="G273">
        <v>0</v>
      </c>
    </row>
    <row r="274" spans="1:7" x14ac:dyDescent="0.2">
      <c r="A274" s="7">
        <v>45150</v>
      </c>
      <c r="B274">
        <v>0</v>
      </c>
      <c r="D274" s="9"/>
      <c r="E274" s="9"/>
      <c r="F274" s="10">
        <v>45150</v>
      </c>
      <c r="G274">
        <v>0</v>
      </c>
    </row>
    <row r="275" spans="1:7" x14ac:dyDescent="0.2">
      <c r="A275" s="7">
        <v>45151</v>
      </c>
      <c r="B275">
        <v>0</v>
      </c>
      <c r="D275" s="9"/>
      <c r="E275" s="9"/>
      <c r="F275" s="10">
        <v>45151</v>
      </c>
      <c r="G275">
        <v>0</v>
      </c>
    </row>
    <row r="276" spans="1:7" x14ac:dyDescent="0.2">
      <c r="A276" s="7">
        <v>45152</v>
      </c>
      <c r="B276">
        <v>0</v>
      </c>
      <c r="D276" s="9"/>
      <c r="E276" s="9"/>
      <c r="F276" s="10">
        <v>45152</v>
      </c>
      <c r="G276">
        <v>0</v>
      </c>
    </row>
    <row r="277" spans="1:7" x14ac:dyDescent="0.2">
      <c r="A277" s="7">
        <v>45153</v>
      </c>
      <c r="B277">
        <v>0</v>
      </c>
      <c r="D277" s="9"/>
      <c r="E277" s="9"/>
      <c r="F277" s="10">
        <v>45153</v>
      </c>
      <c r="G277">
        <v>0</v>
      </c>
    </row>
    <row r="278" spans="1:7" x14ac:dyDescent="0.2">
      <c r="A278" s="7">
        <v>45154</v>
      </c>
      <c r="B278">
        <v>0</v>
      </c>
      <c r="D278" s="9"/>
      <c r="E278" s="9"/>
      <c r="F278" s="10">
        <v>45154</v>
      </c>
      <c r="G278">
        <v>0</v>
      </c>
    </row>
    <row r="279" spans="1:7" x14ac:dyDescent="0.2">
      <c r="A279" s="7">
        <v>45155</v>
      </c>
      <c r="B279">
        <v>2</v>
      </c>
      <c r="D279" s="9"/>
      <c r="E279" s="9"/>
      <c r="F279" s="10">
        <v>45155</v>
      </c>
      <c r="G279">
        <v>1150</v>
      </c>
    </row>
    <row r="280" spans="1:7" x14ac:dyDescent="0.2">
      <c r="A280" s="7">
        <v>45156</v>
      </c>
      <c r="B280">
        <v>0</v>
      </c>
      <c r="D280" s="9"/>
      <c r="E280" s="9"/>
      <c r="F280" s="10">
        <v>45156</v>
      </c>
      <c r="G280">
        <v>0</v>
      </c>
    </row>
    <row r="281" spans="1:7" x14ac:dyDescent="0.2">
      <c r="A281" s="7">
        <v>45157</v>
      </c>
      <c r="B281">
        <v>0</v>
      </c>
      <c r="D281" s="9"/>
      <c r="E281" s="9"/>
      <c r="F281" s="10">
        <v>45157</v>
      </c>
      <c r="G281">
        <v>0</v>
      </c>
    </row>
    <row r="282" spans="1:7" x14ac:dyDescent="0.2">
      <c r="A282" s="7">
        <v>45158</v>
      </c>
      <c r="B282">
        <v>0</v>
      </c>
      <c r="D282" s="9"/>
      <c r="E282" s="9"/>
      <c r="F282" s="10">
        <v>45158</v>
      </c>
      <c r="G282">
        <v>0</v>
      </c>
    </row>
    <row r="283" spans="1:7" x14ac:dyDescent="0.2">
      <c r="A283" s="7">
        <v>45159</v>
      </c>
      <c r="B283">
        <v>0</v>
      </c>
      <c r="D283" s="9"/>
      <c r="E283" s="9"/>
      <c r="F283" s="10">
        <v>45159</v>
      </c>
      <c r="G283">
        <v>0</v>
      </c>
    </row>
    <row r="284" spans="1:7" x14ac:dyDescent="0.2">
      <c r="A284" s="7">
        <v>45160</v>
      </c>
      <c r="B284">
        <v>0</v>
      </c>
      <c r="D284" s="9"/>
      <c r="E284" s="9"/>
      <c r="F284" s="10">
        <v>45160</v>
      </c>
      <c r="G284">
        <v>0</v>
      </c>
    </row>
    <row r="285" spans="1:7" x14ac:dyDescent="0.2">
      <c r="A285" s="7">
        <v>45161</v>
      </c>
      <c r="B285">
        <v>0</v>
      </c>
      <c r="D285" s="9"/>
      <c r="E285" s="9"/>
      <c r="F285" s="10">
        <v>45161</v>
      </c>
      <c r="G285">
        <v>0</v>
      </c>
    </row>
    <row r="286" spans="1:7" x14ac:dyDescent="0.2">
      <c r="A286" s="7">
        <v>45162</v>
      </c>
      <c r="B286">
        <v>0</v>
      </c>
      <c r="D286" s="9"/>
      <c r="E286" s="9"/>
      <c r="F286" s="10">
        <v>45162</v>
      </c>
      <c r="G286">
        <v>0</v>
      </c>
    </row>
    <row r="287" spans="1:7" x14ac:dyDescent="0.2">
      <c r="A287" s="7">
        <v>45163</v>
      </c>
      <c r="B287">
        <v>0</v>
      </c>
      <c r="D287" s="9"/>
      <c r="E287" s="9"/>
      <c r="F287" s="10">
        <v>45163</v>
      </c>
      <c r="G287">
        <v>0</v>
      </c>
    </row>
    <row r="288" spans="1:7" x14ac:dyDescent="0.2">
      <c r="A288" s="7">
        <v>45164</v>
      </c>
      <c r="B288">
        <v>0</v>
      </c>
      <c r="D288" s="9"/>
      <c r="E288" s="9"/>
      <c r="F288" s="10">
        <v>45164</v>
      </c>
      <c r="G288">
        <v>0</v>
      </c>
    </row>
    <row r="289" spans="1:7" x14ac:dyDescent="0.2">
      <c r="A289" s="7">
        <v>45165</v>
      </c>
      <c r="B289">
        <v>0</v>
      </c>
      <c r="D289" s="9"/>
      <c r="E289" s="9"/>
      <c r="F289" s="10">
        <v>45165</v>
      </c>
      <c r="G289">
        <v>0</v>
      </c>
    </row>
    <row r="290" spans="1:7" x14ac:dyDescent="0.2">
      <c r="A290" s="7">
        <v>45166</v>
      </c>
      <c r="B290">
        <v>0</v>
      </c>
      <c r="D290" s="9"/>
      <c r="E290" s="9"/>
      <c r="F290" s="10">
        <v>45166</v>
      </c>
      <c r="G290">
        <v>0</v>
      </c>
    </row>
    <row r="291" spans="1:7" x14ac:dyDescent="0.2">
      <c r="A291" s="7">
        <v>45167</v>
      </c>
      <c r="B291">
        <v>0</v>
      </c>
      <c r="D291" s="9"/>
      <c r="E291" s="9"/>
      <c r="F291" s="10">
        <v>45167</v>
      </c>
      <c r="G291">
        <v>0</v>
      </c>
    </row>
    <row r="292" spans="1:7" x14ac:dyDescent="0.2">
      <c r="A292" s="7">
        <v>45168</v>
      </c>
      <c r="B292">
        <v>0</v>
      </c>
      <c r="D292" s="9"/>
      <c r="E292" s="9"/>
      <c r="F292" s="10">
        <v>45168</v>
      </c>
      <c r="G292">
        <v>0</v>
      </c>
    </row>
    <row r="293" spans="1:7" x14ac:dyDescent="0.2">
      <c r="A293" s="7">
        <v>45169</v>
      </c>
      <c r="B293">
        <v>0</v>
      </c>
      <c r="D293" s="9"/>
      <c r="E293" s="9"/>
      <c r="F293" s="10">
        <v>45169</v>
      </c>
      <c r="G293">
        <v>0</v>
      </c>
    </row>
    <row r="294" spans="1:7" x14ac:dyDescent="0.2">
      <c r="A294" s="7">
        <v>45170</v>
      </c>
      <c r="B294">
        <v>0</v>
      </c>
      <c r="D294" s="9"/>
      <c r="E294" s="9"/>
      <c r="F294" s="10">
        <v>45170</v>
      </c>
      <c r="G294">
        <v>0</v>
      </c>
    </row>
    <row r="295" spans="1:7" x14ac:dyDescent="0.2">
      <c r="A295" s="7">
        <v>45171</v>
      </c>
      <c r="B295">
        <v>0</v>
      </c>
      <c r="D295" s="9"/>
      <c r="E295" s="9"/>
      <c r="F295" s="10">
        <v>45171</v>
      </c>
      <c r="G295">
        <v>0</v>
      </c>
    </row>
    <row r="296" spans="1:7" x14ac:dyDescent="0.2">
      <c r="A296" s="7">
        <v>45172</v>
      </c>
      <c r="B296">
        <v>0</v>
      </c>
      <c r="D296" s="9"/>
      <c r="E296" s="9"/>
      <c r="F296" s="10">
        <v>45172</v>
      </c>
      <c r="G296">
        <v>0</v>
      </c>
    </row>
    <row r="297" spans="1:7" x14ac:dyDescent="0.2">
      <c r="A297" s="7">
        <v>45173</v>
      </c>
      <c r="B297">
        <v>0</v>
      </c>
      <c r="D297" s="9"/>
      <c r="E297" s="9"/>
      <c r="F297" s="10">
        <v>45173</v>
      </c>
      <c r="G297">
        <v>0</v>
      </c>
    </row>
    <row r="298" spans="1:7" x14ac:dyDescent="0.2">
      <c r="A298" s="7">
        <v>45174</v>
      </c>
      <c r="B298">
        <v>0</v>
      </c>
      <c r="D298" s="9"/>
      <c r="E298" s="9"/>
      <c r="F298" s="10">
        <v>45174</v>
      </c>
      <c r="G298">
        <v>0</v>
      </c>
    </row>
    <row r="299" spans="1:7" x14ac:dyDescent="0.2">
      <c r="A299" s="7">
        <v>45175</v>
      </c>
      <c r="B299">
        <v>0</v>
      </c>
      <c r="D299" s="9"/>
      <c r="E299" s="9"/>
      <c r="F299" s="10">
        <v>45175</v>
      </c>
      <c r="G299">
        <v>0</v>
      </c>
    </row>
    <row r="300" spans="1:7" x14ac:dyDescent="0.2">
      <c r="A300" s="7">
        <v>45176</v>
      </c>
      <c r="B300">
        <v>0</v>
      </c>
      <c r="D300" s="9"/>
      <c r="E300" s="9"/>
      <c r="F300" s="10">
        <v>45176</v>
      </c>
      <c r="G300">
        <v>0</v>
      </c>
    </row>
    <row r="301" spans="1:7" x14ac:dyDescent="0.2">
      <c r="A301" s="7">
        <v>45177</v>
      </c>
      <c r="B301">
        <v>0</v>
      </c>
      <c r="D301" s="9"/>
      <c r="E301" s="9"/>
      <c r="F301" s="10">
        <v>45177</v>
      </c>
      <c r="G301">
        <v>0</v>
      </c>
    </row>
    <row r="302" spans="1:7" x14ac:dyDescent="0.2">
      <c r="A302" s="7">
        <v>45178</v>
      </c>
      <c r="B302">
        <v>1</v>
      </c>
      <c r="D302" s="9"/>
      <c r="E302" s="9"/>
      <c r="F302" s="10">
        <v>45178</v>
      </c>
      <c r="G302">
        <v>300</v>
      </c>
    </row>
    <row r="303" spans="1:7" x14ac:dyDescent="0.2">
      <c r="A303" s="7">
        <v>45179</v>
      </c>
      <c r="B303">
        <v>0</v>
      </c>
      <c r="D303" s="9"/>
      <c r="E303" s="9"/>
      <c r="F303" s="10">
        <v>45179</v>
      </c>
      <c r="G303">
        <v>0</v>
      </c>
    </row>
    <row r="304" spans="1:7" x14ac:dyDescent="0.2">
      <c r="A304" s="7">
        <v>45180</v>
      </c>
      <c r="B304">
        <v>1</v>
      </c>
      <c r="D304" s="9"/>
      <c r="E304" s="9"/>
      <c r="F304" s="10">
        <v>45180</v>
      </c>
      <c r="G304">
        <v>450</v>
      </c>
    </row>
    <row r="305" spans="1:7" x14ac:dyDescent="0.2">
      <c r="A305" s="7">
        <v>45181</v>
      </c>
      <c r="B305">
        <v>0</v>
      </c>
      <c r="D305" s="9"/>
      <c r="E305" s="9"/>
      <c r="F305" s="10">
        <v>45181</v>
      </c>
      <c r="G305">
        <v>0</v>
      </c>
    </row>
    <row r="306" spans="1:7" x14ac:dyDescent="0.2">
      <c r="A306" s="7">
        <v>45182</v>
      </c>
      <c r="B306">
        <v>0</v>
      </c>
      <c r="D306" s="9"/>
      <c r="E306" s="9"/>
      <c r="F306" s="10">
        <v>45182</v>
      </c>
      <c r="G306">
        <v>0</v>
      </c>
    </row>
    <row r="307" spans="1:7" x14ac:dyDescent="0.2">
      <c r="A307" s="7">
        <v>45183</v>
      </c>
      <c r="B307">
        <v>0</v>
      </c>
      <c r="D307" s="9"/>
      <c r="E307" s="9"/>
      <c r="F307" s="10">
        <v>45183</v>
      </c>
      <c r="G307">
        <v>0</v>
      </c>
    </row>
    <row r="308" spans="1:7" x14ac:dyDescent="0.2">
      <c r="A308" s="7">
        <v>45184</v>
      </c>
      <c r="B308">
        <v>0</v>
      </c>
      <c r="D308" s="9"/>
      <c r="E308" s="9"/>
      <c r="F308" s="10">
        <v>45184</v>
      </c>
      <c r="G308">
        <v>0</v>
      </c>
    </row>
    <row r="309" spans="1:7" x14ac:dyDescent="0.2">
      <c r="A309" s="7">
        <v>45185</v>
      </c>
      <c r="B309">
        <v>0</v>
      </c>
      <c r="D309" s="9"/>
      <c r="E309" s="9"/>
      <c r="F309" s="10">
        <v>45185</v>
      </c>
      <c r="G309">
        <v>0</v>
      </c>
    </row>
    <row r="310" spans="1:7" x14ac:dyDescent="0.2">
      <c r="A310" s="7">
        <v>45186</v>
      </c>
      <c r="B310">
        <v>0</v>
      </c>
      <c r="D310" s="9"/>
      <c r="E310" s="9"/>
      <c r="F310" s="10">
        <v>45186</v>
      </c>
      <c r="G310">
        <v>0</v>
      </c>
    </row>
    <row r="311" spans="1:7" x14ac:dyDescent="0.2">
      <c r="A311" s="7">
        <v>45187</v>
      </c>
      <c r="B311">
        <v>0</v>
      </c>
      <c r="D311" s="9"/>
      <c r="E311" s="9"/>
      <c r="F311" s="10">
        <v>45187</v>
      </c>
      <c r="G311">
        <v>0</v>
      </c>
    </row>
    <row r="312" spans="1:7" x14ac:dyDescent="0.2">
      <c r="A312" s="7">
        <v>45188</v>
      </c>
      <c r="B312">
        <v>0</v>
      </c>
      <c r="D312" s="9"/>
      <c r="E312" s="9"/>
      <c r="F312" s="10">
        <v>45188</v>
      </c>
      <c r="G312">
        <v>0</v>
      </c>
    </row>
    <row r="313" spans="1:7" x14ac:dyDescent="0.2">
      <c r="A313" s="7">
        <v>45189</v>
      </c>
      <c r="B313">
        <v>0</v>
      </c>
      <c r="D313" s="9"/>
      <c r="E313" s="9"/>
      <c r="F313" s="10">
        <v>45189</v>
      </c>
      <c r="G313">
        <v>0</v>
      </c>
    </row>
    <row r="314" spans="1:7" x14ac:dyDescent="0.2">
      <c r="A314" s="7">
        <v>45190</v>
      </c>
      <c r="B314">
        <v>0</v>
      </c>
      <c r="D314" s="9"/>
      <c r="E314" s="9"/>
      <c r="F314" s="10">
        <v>45190</v>
      </c>
      <c r="G314">
        <v>0</v>
      </c>
    </row>
    <row r="315" spans="1:7" x14ac:dyDescent="0.2">
      <c r="A315" s="7">
        <v>45191</v>
      </c>
      <c r="B315">
        <v>0</v>
      </c>
      <c r="D315" s="9"/>
      <c r="E315" s="9"/>
      <c r="F315" s="10">
        <v>45191</v>
      </c>
      <c r="G315">
        <v>0</v>
      </c>
    </row>
    <row r="316" spans="1:7" x14ac:dyDescent="0.2">
      <c r="A316" s="7">
        <v>45192</v>
      </c>
      <c r="B316">
        <v>0</v>
      </c>
      <c r="D316" s="9"/>
      <c r="E316" s="9"/>
      <c r="F316" s="10">
        <v>45192</v>
      </c>
      <c r="G316">
        <v>0</v>
      </c>
    </row>
    <row r="317" spans="1:7" x14ac:dyDescent="0.2">
      <c r="A317" s="7">
        <v>45193</v>
      </c>
      <c r="B317">
        <v>0</v>
      </c>
      <c r="D317" s="9"/>
      <c r="E317" s="9"/>
      <c r="F317" s="10">
        <v>45193</v>
      </c>
      <c r="G317">
        <v>0</v>
      </c>
    </row>
    <row r="318" spans="1:7" x14ac:dyDescent="0.2">
      <c r="A318" s="7">
        <v>45194</v>
      </c>
      <c r="B318">
        <v>0</v>
      </c>
      <c r="D318" s="9"/>
      <c r="E318" s="9"/>
      <c r="F318" s="10">
        <v>45194</v>
      </c>
      <c r="G318">
        <v>0</v>
      </c>
    </row>
    <row r="319" spans="1:7" x14ac:dyDescent="0.2">
      <c r="A319" s="7">
        <v>45195</v>
      </c>
      <c r="B319">
        <v>0</v>
      </c>
      <c r="D319" s="9"/>
      <c r="E319" s="9"/>
      <c r="F319" s="10">
        <v>45195</v>
      </c>
      <c r="G319">
        <v>0</v>
      </c>
    </row>
    <row r="320" spans="1:7" x14ac:dyDescent="0.2">
      <c r="A320" s="7">
        <v>45196</v>
      </c>
      <c r="B320">
        <v>0</v>
      </c>
      <c r="D320" s="9"/>
      <c r="E320" s="9"/>
      <c r="F320" s="10">
        <v>45196</v>
      </c>
      <c r="G320">
        <v>0</v>
      </c>
    </row>
    <row r="321" spans="1:7" x14ac:dyDescent="0.2">
      <c r="A321" s="7">
        <v>45197</v>
      </c>
      <c r="B321">
        <v>0</v>
      </c>
      <c r="D321" s="9"/>
      <c r="E321" s="9"/>
      <c r="F321" s="10">
        <v>45197</v>
      </c>
      <c r="G321">
        <v>0</v>
      </c>
    </row>
    <row r="322" spans="1:7" x14ac:dyDescent="0.2">
      <c r="A322" s="7">
        <v>45198</v>
      </c>
      <c r="B322">
        <v>0</v>
      </c>
      <c r="D322" s="9"/>
      <c r="E322" s="9"/>
      <c r="F322" s="10">
        <v>45198</v>
      </c>
      <c r="G322">
        <v>0</v>
      </c>
    </row>
    <row r="323" spans="1:7" x14ac:dyDescent="0.2">
      <c r="A323" s="7">
        <v>45199</v>
      </c>
      <c r="B323">
        <v>1</v>
      </c>
      <c r="D323" s="9"/>
      <c r="E323" s="9"/>
      <c r="F323" s="10">
        <v>45199</v>
      </c>
      <c r="G323">
        <v>700</v>
      </c>
    </row>
    <row r="324" spans="1:7" x14ac:dyDescent="0.2">
      <c r="A324" s="7">
        <v>45200</v>
      </c>
      <c r="B324">
        <v>0</v>
      </c>
      <c r="D324" s="9"/>
      <c r="E324" s="9"/>
      <c r="F324" s="10">
        <v>45200</v>
      </c>
      <c r="G324">
        <v>0</v>
      </c>
    </row>
    <row r="325" spans="1:7" x14ac:dyDescent="0.2">
      <c r="A325" s="7">
        <v>45201</v>
      </c>
      <c r="B325">
        <v>0</v>
      </c>
      <c r="D325" s="9"/>
      <c r="E325" s="9"/>
      <c r="F325" s="10">
        <v>45201</v>
      </c>
      <c r="G325">
        <v>0</v>
      </c>
    </row>
    <row r="326" spans="1:7" x14ac:dyDescent="0.2">
      <c r="A326" s="7">
        <v>45202</v>
      </c>
      <c r="B326">
        <v>0</v>
      </c>
      <c r="D326" s="9"/>
      <c r="E326" s="9"/>
      <c r="F326" s="10">
        <v>45202</v>
      </c>
      <c r="G326">
        <v>0</v>
      </c>
    </row>
    <row r="327" spans="1:7" x14ac:dyDescent="0.2">
      <c r="A327" s="7">
        <v>45203</v>
      </c>
      <c r="B327">
        <v>0</v>
      </c>
      <c r="D327" s="9"/>
      <c r="E327" s="9"/>
      <c r="F327" s="10">
        <v>45203</v>
      </c>
      <c r="G327">
        <v>0</v>
      </c>
    </row>
    <row r="328" spans="1:7" x14ac:dyDescent="0.2">
      <c r="A328" s="7">
        <v>45204</v>
      </c>
      <c r="B328">
        <v>0</v>
      </c>
      <c r="D328" s="9"/>
      <c r="E328" s="9"/>
      <c r="F328" s="10">
        <v>45204</v>
      </c>
      <c r="G328">
        <v>0</v>
      </c>
    </row>
    <row r="329" spans="1:7" x14ac:dyDescent="0.2">
      <c r="A329" s="7">
        <v>45205</v>
      </c>
      <c r="B329">
        <v>0</v>
      </c>
      <c r="D329" s="9"/>
      <c r="E329" s="9"/>
      <c r="F329" s="10">
        <v>45205</v>
      </c>
      <c r="G329">
        <v>0</v>
      </c>
    </row>
    <row r="330" spans="1:7" x14ac:dyDescent="0.2">
      <c r="A330" s="7">
        <v>45206</v>
      </c>
      <c r="B330">
        <v>0</v>
      </c>
      <c r="D330" s="9"/>
      <c r="E330" s="9"/>
      <c r="F330" s="10">
        <v>45206</v>
      </c>
      <c r="G330">
        <v>0</v>
      </c>
    </row>
    <row r="331" spans="1:7" x14ac:dyDescent="0.2">
      <c r="A331" s="7">
        <v>45207</v>
      </c>
      <c r="B331">
        <v>0</v>
      </c>
      <c r="D331" s="9"/>
      <c r="E331" s="9"/>
      <c r="F331" s="10">
        <v>45207</v>
      </c>
      <c r="G331">
        <v>0</v>
      </c>
    </row>
    <row r="332" spans="1:7" x14ac:dyDescent="0.2">
      <c r="A332" s="7">
        <v>45208</v>
      </c>
      <c r="B332">
        <v>0</v>
      </c>
      <c r="D332" s="9"/>
      <c r="E332" s="9"/>
      <c r="F332" s="10">
        <v>45208</v>
      </c>
      <c r="G332">
        <v>0</v>
      </c>
    </row>
    <row r="333" spans="1:7" x14ac:dyDescent="0.2">
      <c r="A333" s="7">
        <v>45209</v>
      </c>
      <c r="B333">
        <v>0</v>
      </c>
      <c r="D333" s="9"/>
      <c r="E333" s="9"/>
      <c r="F333" s="10">
        <v>45209</v>
      </c>
      <c r="G333">
        <v>0</v>
      </c>
    </row>
    <row r="334" spans="1:7" x14ac:dyDescent="0.2">
      <c r="A334" s="7">
        <v>45210</v>
      </c>
      <c r="B334">
        <v>0</v>
      </c>
      <c r="D334" s="9"/>
      <c r="E334" s="9"/>
      <c r="F334" s="10">
        <v>45210</v>
      </c>
      <c r="G334">
        <v>0</v>
      </c>
    </row>
    <row r="335" spans="1:7" x14ac:dyDescent="0.2">
      <c r="A335" s="7">
        <v>45211</v>
      </c>
      <c r="B335">
        <v>0</v>
      </c>
      <c r="D335" s="9"/>
      <c r="E335" s="9"/>
      <c r="F335" s="10">
        <v>45211</v>
      </c>
      <c r="G335">
        <v>0</v>
      </c>
    </row>
    <row r="336" spans="1:7" x14ac:dyDescent="0.2">
      <c r="A336" s="7">
        <v>45212</v>
      </c>
      <c r="B336">
        <v>0</v>
      </c>
      <c r="D336" s="9"/>
      <c r="E336" s="9"/>
      <c r="F336" s="10">
        <v>45212</v>
      </c>
      <c r="G336">
        <v>0</v>
      </c>
    </row>
    <row r="337" spans="1:7" x14ac:dyDescent="0.2">
      <c r="A337" s="7">
        <v>45213</v>
      </c>
      <c r="B337">
        <v>1</v>
      </c>
      <c r="D337" s="9"/>
      <c r="E337" s="9"/>
      <c r="F337" s="10">
        <v>45213</v>
      </c>
      <c r="G337">
        <v>300</v>
      </c>
    </row>
    <row r="338" spans="1:7" x14ac:dyDescent="0.2">
      <c r="A338" s="7">
        <v>45214</v>
      </c>
      <c r="B338">
        <v>0</v>
      </c>
      <c r="D338" s="9"/>
      <c r="E338" s="9"/>
      <c r="F338" s="10">
        <v>45214</v>
      </c>
      <c r="G338">
        <v>0</v>
      </c>
    </row>
    <row r="339" spans="1:7" x14ac:dyDescent="0.2">
      <c r="A339" s="7">
        <v>45215</v>
      </c>
      <c r="B339">
        <v>1</v>
      </c>
      <c r="D339" s="9"/>
      <c r="E339" s="9"/>
      <c r="F339" s="10">
        <v>45215</v>
      </c>
      <c r="G339">
        <v>450</v>
      </c>
    </row>
    <row r="340" spans="1:7" x14ac:dyDescent="0.2">
      <c r="A340" s="7">
        <v>45216</v>
      </c>
      <c r="B340">
        <v>0</v>
      </c>
      <c r="D340" s="9"/>
      <c r="E340" s="9"/>
      <c r="F340" s="10">
        <v>45216</v>
      </c>
      <c r="G340">
        <v>0</v>
      </c>
    </row>
    <row r="341" spans="1:7" x14ac:dyDescent="0.2">
      <c r="A341" s="7">
        <v>45217</v>
      </c>
      <c r="B341">
        <v>0</v>
      </c>
      <c r="D341" s="9"/>
      <c r="E341" s="9"/>
      <c r="F341" s="10">
        <v>45217</v>
      </c>
      <c r="G341">
        <v>0</v>
      </c>
    </row>
    <row r="342" spans="1:7" x14ac:dyDescent="0.2">
      <c r="A342" s="7">
        <v>45218</v>
      </c>
      <c r="B342">
        <v>0</v>
      </c>
      <c r="D342" s="9"/>
      <c r="E342" s="9"/>
      <c r="F342" s="10">
        <v>45218</v>
      </c>
      <c r="G342">
        <v>0</v>
      </c>
    </row>
    <row r="343" spans="1:7" x14ac:dyDescent="0.2">
      <c r="A343" s="7">
        <v>45219</v>
      </c>
      <c r="B343">
        <v>0</v>
      </c>
      <c r="D343" s="9"/>
      <c r="E343" s="9"/>
      <c r="F343" s="10">
        <v>45219</v>
      </c>
      <c r="G343">
        <v>0</v>
      </c>
    </row>
    <row r="344" spans="1:7" x14ac:dyDescent="0.2">
      <c r="A344" s="7">
        <v>45220</v>
      </c>
      <c r="B344">
        <v>0</v>
      </c>
      <c r="D344" s="9"/>
      <c r="E344" s="9"/>
      <c r="F344" s="10">
        <v>45220</v>
      </c>
      <c r="G344">
        <v>0</v>
      </c>
    </row>
    <row r="345" spans="1:7" x14ac:dyDescent="0.2">
      <c r="A345" s="7">
        <v>45221</v>
      </c>
      <c r="B345">
        <v>0</v>
      </c>
      <c r="D345" s="9"/>
      <c r="E345" s="9"/>
      <c r="F345" s="10">
        <v>45221</v>
      </c>
      <c r="G345">
        <v>0</v>
      </c>
    </row>
    <row r="346" spans="1:7" x14ac:dyDescent="0.2">
      <c r="A346" s="7">
        <v>45222</v>
      </c>
      <c r="B346">
        <v>0</v>
      </c>
      <c r="D346" s="9"/>
      <c r="E346" s="9"/>
      <c r="F346" s="10">
        <v>45222</v>
      </c>
      <c r="G346">
        <v>0</v>
      </c>
    </row>
    <row r="347" spans="1:7" x14ac:dyDescent="0.2">
      <c r="A347" s="7">
        <v>45223</v>
      </c>
      <c r="B347">
        <v>0</v>
      </c>
      <c r="D347" s="9"/>
      <c r="E347" s="9"/>
      <c r="F347" s="10">
        <v>45223</v>
      </c>
      <c r="G347">
        <v>0</v>
      </c>
    </row>
    <row r="348" spans="1:7" x14ac:dyDescent="0.2">
      <c r="A348" s="7">
        <v>45224</v>
      </c>
      <c r="B348">
        <v>1</v>
      </c>
      <c r="D348" s="9"/>
      <c r="E348" s="9"/>
      <c r="F348" s="10">
        <v>45224</v>
      </c>
      <c r="G348">
        <v>700</v>
      </c>
    </row>
    <row r="349" spans="1:7" x14ac:dyDescent="0.2">
      <c r="A349" s="7">
        <v>45225</v>
      </c>
      <c r="B349">
        <v>0</v>
      </c>
      <c r="D349" s="9"/>
      <c r="E349" s="9"/>
      <c r="F349" s="10">
        <v>45225</v>
      </c>
      <c r="G349">
        <v>0</v>
      </c>
    </row>
    <row r="350" spans="1:7" x14ac:dyDescent="0.2">
      <c r="A350" s="7">
        <v>45226</v>
      </c>
      <c r="B350">
        <v>0</v>
      </c>
      <c r="D350" s="9"/>
      <c r="E350" s="9"/>
      <c r="F350" s="10">
        <v>45226</v>
      </c>
      <c r="G350">
        <v>0</v>
      </c>
    </row>
    <row r="351" spans="1:7" x14ac:dyDescent="0.2">
      <c r="A351" s="7">
        <v>45227</v>
      </c>
      <c r="B351">
        <v>0</v>
      </c>
      <c r="D351" s="9"/>
      <c r="E351" s="9"/>
      <c r="F351" s="10">
        <v>45227</v>
      </c>
      <c r="G351">
        <v>0</v>
      </c>
    </row>
    <row r="352" spans="1:7" x14ac:dyDescent="0.2">
      <c r="A352" s="7">
        <v>45228</v>
      </c>
      <c r="B352">
        <v>0</v>
      </c>
      <c r="D352" s="9"/>
      <c r="E352" s="9"/>
      <c r="F352" s="10">
        <v>45228</v>
      </c>
      <c r="G352">
        <v>0</v>
      </c>
    </row>
    <row r="353" spans="1:7" x14ac:dyDescent="0.2">
      <c r="A353" s="7">
        <v>45229</v>
      </c>
      <c r="B353">
        <v>0</v>
      </c>
      <c r="D353" s="9"/>
      <c r="E353" s="9"/>
      <c r="F353" s="10">
        <v>45229</v>
      </c>
      <c r="G353">
        <v>0</v>
      </c>
    </row>
    <row r="354" spans="1:7" x14ac:dyDescent="0.2">
      <c r="A354" s="7">
        <v>45230</v>
      </c>
      <c r="B354">
        <v>1</v>
      </c>
      <c r="D354" s="9"/>
      <c r="E354" s="9"/>
      <c r="F354" s="10">
        <v>45230</v>
      </c>
      <c r="G354">
        <v>300</v>
      </c>
    </row>
    <row r="355" spans="1:7" x14ac:dyDescent="0.2">
      <c r="A355" s="7">
        <v>45231</v>
      </c>
      <c r="B355">
        <v>0</v>
      </c>
      <c r="D355" s="9"/>
      <c r="E355" s="9"/>
      <c r="F355" s="10">
        <v>45231</v>
      </c>
      <c r="G355">
        <v>0</v>
      </c>
    </row>
    <row r="356" spans="1:7" x14ac:dyDescent="0.2">
      <c r="A356" s="7">
        <v>45232</v>
      </c>
      <c r="B356">
        <v>0</v>
      </c>
      <c r="D356" s="9"/>
      <c r="E356" s="9"/>
      <c r="F356" s="10">
        <v>45232</v>
      </c>
      <c r="G356">
        <v>0</v>
      </c>
    </row>
    <row r="357" spans="1:7" x14ac:dyDescent="0.2">
      <c r="A357" s="7">
        <v>45233</v>
      </c>
      <c r="B357">
        <v>1</v>
      </c>
      <c r="D357" s="9"/>
      <c r="E357" s="9"/>
      <c r="F357" s="10">
        <v>45233</v>
      </c>
      <c r="G357">
        <v>450</v>
      </c>
    </row>
    <row r="358" spans="1:7" x14ac:dyDescent="0.2">
      <c r="A358" s="7">
        <v>45234</v>
      </c>
      <c r="B358">
        <v>0</v>
      </c>
      <c r="D358" s="9"/>
      <c r="E358" s="9"/>
      <c r="F358" s="10">
        <v>45234</v>
      </c>
      <c r="G358">
        <v>0</v>
      </c>
    </row>
    <row r="359" spans="1:7" x14ac:dyDescent="0.2">
      <c r="A359" s="7">
        <v>45235</v>
      </c>
      <c r="B359">
        <v>0</v>
      </c>
      <c r="D359" s="9"/>
      <c r="E359" s="9"/>
      <c r="F359" s="10">
        <v>45235</v>
      </c>
      <c r="G359">
        <v>0</v>
      </c>
    </row>
    <row r="360" spans="1:7" x14ac:dyDescent="0.2">
      <c r="A360" s="7">
        <v>45236</v>
      </c>
      <c r="B360">
        <v>0</v>
      </c>
      <c r="D360" s="9"/>
      <c r="E360" s="9"/>
      <c r="F360" s="10">
        <v>45236</v>
      </c>
      <c r="G360">
        <v>0</v>
      </c>
    </row>
    <row r="361" spans="1:7" x14ac:dyDescent="0.2">
      <c r="A361" s="7">
        <v>45237</v>
      </c>
      <c r="B361">
        <v>0</v>
      </c>
      <c r="D361" s="9"/>
      <c r="E361" s="9"/>
      <c r="F361" s="10">
        <v>45237</v>
      </c>
      <c r="G361">
        <v>0</v>
      </c>
    </row>
    <row r="362" spans="1:7" x14ac:dyDescent="0.2">
      <c r="A362" s="7">
        <v>45238</v>
      </c>
      <c r="B362">
        <v>0</v>
      </c>
      <c r="D362" s="9"/>
      <c r="E362" s="9"/>
      <c r="F362" s="10">
        <v>45238</v>
      </c>
      <c r="G362">
        <v>0</v>
      </c>
    </row>
    <row r="363" spans="1:7" x14ac:dyDescent="0.2">
      <c r="A363" s="7">
        <v>45239</v>
      </c>
      <c r="B363">
        <v>0</v>
      </c>
      <c r="D363" s="9"/>
      <c r="E363" s="9"/>
      <c r="F363" s="10">
        <v>45239</v>
      </c>
      <c r="G363">
        <v>0</v>
      </c>
    </row>
    <row r="364" spans="1:7" x14ac:dyDescent="0.2">
      <c r="A364" s="7">
        <v>45240</v>
      </c>
      <c r="B364">
        <v>0</v>
      </c>
      <c r="D364" s="9"/>
      <c r="E364" s="9"/>
      <c r="F364" s="10">
        <v>45240</v>
      </c>
      <c r="G364">
        <v>0</v>
      </c>
    </row>
    <row r="365" spans="1:7" x14ac:dyDescent="0.2">
      <c r="A365" s="7">
        <v>45241</v>
      </c>
      <c r="B365">
        <v>0</v>
      </c>
      <c r="D365" s="9"/>
      <c r="E365" s="9"/>
      <c r="F365" s="10">
        <v>45241</v>
      </c>
      <c r="G365">
        <v>0</v>
      </c>
    </row>
    <row r="366" spans="1:7" x14ac:dyDescent="0.2">
      <c r="A366" s="7">
        <v>45242</v>
      </c>
      <c r="B366">
        <v>0</v>
      </c>
      <c r="D366" s="9"/>
      <c r="E366" s="9"/>
      <c r="F366" s="10">
        <v>45242</v>
      </c>
      <c r="G366">
        <v>0</v>
      </c>
    </row>
    <row r="367" spans="1:7" x14ac:dyDescent="0.2">
      <c r="A367" s="7">
        <v>45243</v>
      </c>
      <c r="B367">
        <v>0</v>
      </c>
      <c r="D367" s="9"/>
      <c r="E367" s="9"/>
      <c r="F367" s="10">
        <v>45243</v>
      </c>
      <c r="G367">
        <v>0</v>
      </c>
    </row>
    <row r="368" spans="1:7" x14ac:dyDescent="0.2">
      <c r="A368" s="7">
        <v>45244</v>
      </c>
      <c r="B368">
        <v>0</v>
      </c>
      <c r="D368" s="9"/>
      <c r="E368" s="9"/>
      <c r="F368" s="10">
        <v>45244</v>
      </c>
      <c r="G368">
        <v>0</v>
      </c>
    </row>
    <row r="369" spans="1:7" x14ac:dyDescent="0.2">
      <c r="A369" s="7">
        <v>45245</v>
      </c>
      <c r="B369">
        <v>0</v>
      </c>
      <c r="D369" s="9"/>
      <c r="E369" s="9"/>
      <c r="F369" s="10">
        <v>45245</v>
      </c>
      <c r="G369">
        <v>0</v>
      </c>
    </row>
    <row r="370" spans="1:7" x14ac:dyDescent="0.2">
      <c r="A370" s="7">
        <v>45246</v>
      </c>
      <c r="B370">
        <v>0</v>
      </c>
      <c r="D370" s="9"/>
      <c r="E370" s="9"/>
      <c r="F370" s="10">
        <v>45246</v>
      </c>
      <c r="G370">
        <v>0</v>
      </c>
    </row>
    <row r="371" spans="1:7" x14ac:dyDescent="0.2">
      <c r="A371" s="7">
        <v>45247</v>
      </c>
      <c r="B371">
        <v>0</v>
      </c>
      <c r="D371" s="9"/>
      <c r="E371" s="9"/>
      <c r="F371" s="10">
        <v>45247</v>
      </c>
      <c r="G371">
        <v>0</v>
      </c>
    </row>
    <row r="372" spans="1:7" x14ac:dyDescent="0.2">
      <c r="A372" s="7">
        <v>45248</v>
      </c>
      <c r="B372">
        <v>0</v>
      </c>
      <c r="D372" s="9"/>
      <c r="E372" s="9"/>
      <c r="F372" s="10">
        <v>45248</v>
      </c>
      <c r="G372">
        <v>0</v>
      </c>
    </row>
    <row r="373" spans="1:7" x14ac:dyDescent="0.2">
      <c r="A373" s="7">
        <v>45249</v>
      </c>
      <c r="B373">
        <v>0</v>
      </c>
      <c r="D373" s="9"/>
      <c r="E373" s="9"/>
      <c r="F373" s="10">
        <v>45249</v>
      </c>
      <c r="G373">
        <v>0</v>
      </c>
    </row>
    <row r="374" spans="1:7" x14ac:dyDescent="0.2">
      <c r="A374" s="7">
        <v>45250</v>
      </c>
      <c r="B374">
        <v>0</v>
      </c>
      <c r="D374" s="9"/>
      <c r="E374" s="9"/>
      <c r="F374" s="10">
        <v>45250</v>
      </c>
      <c r="G374">
        <v>0</v>
      </c>
    </row>
    <row r="375" spans="1:7" x14ac:dyDescent="0.2">
      <c r="A375" s="7">
        <v>45251</v>
      </c>
      <c r="B375">
        <v>0</v>
      </c>
      <c r="D375" s="9"/>
      <c r="E375" s="9"/>
      <c r="F375" s="10">
        <v>45251</v>
      </c>
      <c r="G375">
        <v>0</v>
      </c>
    </row>
    <row r="376" spans="1:7" x14ac:dyDescent="0.2">
      <c r="A376" s="7">
        <v>45252</v>
      </c>
      <c r="B376">
        <v>0</v>
      </c>
      <c r="D376" s="9"/>
      <c r="E376" s="9"/>
      <c r="F376" s="10">
        <v>45252</v>
      </c>
      <c r="G376">
        <v>0</v>
      </c>
    </row>
    <row r="377" spans="1:7" x14ac:dyDescent="0.2">
      <c r="A377" s="7">
        <v>45253</v>
      </c>
      <c r="B377">
        <v>0</v>
      </c>
      <c r="D377" s="9"/>
      <c r="E377" s="9"/>
      <c r="F377" s="10">
        <v>45253</v>
      </c>
      <c r="G377">
        <v>0</v>
      </c>
    </row>
    <row r="378" spans="1:7" x14ac:dyDescent="0.2">
      <c r="A378" s="7">
        <v>45254</v>
      </c>
      <c r="B378">
        <v>0</v>
      </c>
      <c r="D378" s="9"/>
      <c r="E378" s="9"/>
      <c r="F378" s="10">
        <v>45254</v>
      </c>
      <c r="G378">
        <v>0</v>
      </c>
    </row>
    <row r="379" spans="1:7" x14ac:dyDescent="0.2">
      <c r="A379" s="7">
        <v>45255</v>
      </c>
      <c r="B379">
        <v>0</v>
      </c>
      <c r="D379" s="9"/>
      <c r="E379" s="9"/>
      <c r="F379" s="10">
        <v>45255</v>
      </c>
      <c r="G379">
        <v>0</v>
      </c>
    </row>
    <row r="380" spans="1:7" x14ac:dyDescent="0.2">
      <c r="A380" s="7">
        <v>45256</v>
      </c>
      <c r="B380">
        <v>0</v>
      </c>
      <c r="D380" s="9"/>
      <c r="E380" s="9"/>
      <c r="F380" s="10">
        <v>45256</v>
      </c>
      <c r="G380">
        <v>0</v>
      </c>
    </row>
    <row r="381" spans="1:7" x14ac:dyDescent="0.2">
      <c r="A381" s="7">
        <v>45257</v>
      </c>
      <c r="B381">
        <v>0</v>
      </c>
      <c r="D381" s="9"/>
      <c r="E381" s="9"/>
      <c r="F381" s="10">
        <v>45257</v>
      </c>
      <c r="G381">
        <v>0</v>
      </c>
    </row>
    <row r="382" spans="1:7" x14ac:dyDescent="0.2">
      <c r="A382" s="7">
        <v>45258</v>
      </c>
      <c r="B382">
        <v>0</v>
      </c>
      <c r="D382" s="9"/>
      <c r="E382" s="9"/>
      <c r="F382" s="10">
        <v>45258</v>
      </c>
      <c r="G382">
        <v>0</v>
      </c>
    </row>
    <row r="383" spans="1:7" x14ac:dyDescent="0.2">
      <c r="A383" s="7">
        <v>45259</v>
      </c>
      <c r="B383">
        <v>0</v>
      </c>
      <c r="D383" s="9"/>
      <c r="E383" s="9"/>
      <c r="F383" s="10">
        <v>45259</v>
      </c>
      <c r="G383">
        <v>0</v>
      </c>
    </row>
    <row r="384" spans="1:7" x14ac:dyDescent="0.2">
      <c r="A384" s="7">
        <v>45260</v>
      </c>
      <c r="B384">
        <v>1</v>
      </c>
      <c r="D384" s="9"/>
      <c r="E384" s="9"/>
      <c r="F384" s="10">
        <v>45260</v>
      </c>
      <c r="G384">
        <v>700</v>
      </c>
    </row>
    <row r="385" spans="1:7" x14ac:dyDescent="0.2">
      <c r="A385" s="7">
        <v>45261</v>
      </c>
      <c r="B385">
        <v>0</v>
      </c>
      <c r="D385" s="9"/>
      <c r="E385" s="9"/>
      <c r="F385" s="10">
        <v>45261</v>
      </c>
      <c r="G385">
        <v>0</v>
      </c>
    </row>
    <row r="386" spans="1:7" x14ac:dyDescent="0.2">
      <c r="A386" s="7">
        <v>45262</v>
      </c>
      <c r="B386">
        <v>0</v>
      </c>
      <c r="D386" s="9"/>
      <c r="E386" s="9"/>
      <c r="F386" s="10">
        <v>45262</v>
      </c>
      <c r="G386">
        <v>0</v>
      </c>
    </row>
    <row r="387" spans="1:7" x14ac:dyDescent="0.2">
      <c r="A387" s="7">
        <v>45263</v>
      </c>
      <c r="B387">
        <v>1</v>
      </c>
      <c r="D387" s="9"/>
      <c r="E387" s="9"/>
      <c r="F387" s="10">
        <v>45263</v>
      </c>
      <c r="G387">
        <v>300</v>
      </c>
    </row>
    <row r="388" spans="1:7" x14ac:dyDescent="0.2">
      <c r="A388" s="7">
        <v>45264</v>
      </c>
      <c r="B388">
        <v>0</v>
      </c>
      <c r="D388" s="9"/>
      <c r="E388" s="9"/>
      <c r="F388" s="10">
        <v>45264</v>
      </c>
      <c r="G388">
        <v>0</v>
      </c>
    </row>
    <row r="389" spans="1:7" x14ac:dyDescent="0.2">
      <c r="A389" s="7">
        <v>45265</v>
      </c>
      <c r="B389">
        <v>0</v>
      </c>
      <c r="D389" s="9"/>
      <c r="E389" s="9"/>
      <c r="F389" s="10">
        <v>45265</v>
      </c>
      <c r="G389">
        <v>0</v>
      </c>
    </row>
    <row r="390" spans="1:7" x14ac:dyDescent="0.2">
      <c r="A390" s="7">
        <v>45266</v>
      </c>
      <c r="B390">
        <v>0</v>
      </c>
      <c r="D390" s="9"/>
      <c r="E390" s="9"/>
      <c r="F390" s="10">
        <v>45266</v>
      </c>
      <c r="G390">
        <v>0</v>
      </c>
    </row>
    <row r="391" spans="1:7" x14ac:dyDescent="0.2">
      <c r="A391" s="7">
        <v>45267</v>
      </c>
      <c r="B391">
        <v>0</v>
      </c>
      <c r="D391" s="9"/>
      <c r="E391" s="9"/>
      <c r="F391" s="10">
        <v>45267</v>
      </c>
      <c r="G391">
        <v>0</v>
      </c>
    </row>
    <row r="392" spans="1:7" x14ac:dyDescent="0.2">
      <c r="A392" s="7">
        <v>45268</v>
      </c>
      <c r="B392">
        <v>0</v>
      </c>
      <c r="D392" s="9"/>
      <c r="E392" s="9"/>
      <c r="F392" s="10">
        <v>45268</v>
      </c>
      <c r="G392">
        <v>0</v>
      </c>
    </row>
    <row r="393" spans="1:7" x14ac:dyDescent="0.2">
      <c r="A393" s="7">
        <v>45269</v>
      </c>
      <c r="B393">
        <v>1</v>
      </c>
      <c r="D393" s="9"/>
      <c r="E393" s="9"/>
      <c r="F393" s="10">
        <v>45269</v>
      </c>
      <c r="G393">
        <v>450</v>
      </c>
    </row>
    <row r="394" spans="1:7" x14ac:dyDescent="0.2">
      <c r="A394" s="7">
        <v>45270</v>
      </c>
      <c r="B394">
        <v>0</v>
      </c>
      <c r="D394" s="9"/>
      <c r="E394" s="9"/>
      <c r="F394" s="10">
        <v>45270</v>
      </c>
      <c r="G394">
        <v>0</v>
      </c>
    </row>
    <row r="395" spans="1:7" x14ac:dyDescent="0.2">
      <c r="A395" s="7">
        <v>45271</v>
      </c>
      <c r="B395">
        <v>0</v>
      </c>
      <c r="D395" s="9"/>
      <c r="E395" s="9"/>
      <c r="F395" s="10">
        <v>45271</v>
      </c>
      <c r="G395">
        <v>0</v>
      </c>
    </row>
    <row r="396" spans="1:7" x14ac:dyDescent="0.2">
      <c r="A396" s="7">
        <v>45272</v>
      </c>
      <c r="B396">
        <v>0</v>
      </c>
      <c r="D396" s="9"/>
      <c r="E396" s="9"/>
      <c r="F396" s="10">
        <v>45272</v>
      </c>
      <c r="G396">
        <v>0</v>
      </c>
    </row>
    <row r="397" spans="1:7" x14ac:dyDescent="0.2">
      <c r="A397" s="7">
        <v>45273</v>
      </c>
      <c r="B397">
        <v>0</v>
      </c>
      <c r="D397" s="9"/>
      <c r="E397" s="9"/>
      <c r="F397" s="10">
        <v>45273</v>
      </c>
      <c r="G397">
        <v>0</v>
      </c>
    </row>
    <row r="398" spans="1:7" x14ac:dyDescent="0.2">
      <c r="A398" s="7">
        <v>45274</v>
      </c>
      <c r="B398">
        <v>0</v>
      </c>
      <c r="D398" s="9"/>
      <c r="E398" s="9"/>
      <c r="F398" s="10">
        <v>45274</v>
      </c>
      <c r="G398">
        <v>0</v>
      </c>
    </row>
    <row r="399" spans="1:7" x14ac:dyDescent="0.2">
      <c r="A399" s="7">
        <v>45275</v>
      </c>
      <c r="B399">
        <v>0</v>
      </c>
      <c r="D399" s="9"/>
      <c r="E399" s="9"/>
      <c r="F399" s="10">
        <v>45275</v>
      </c>
      <c r="G399">
        <v>0</v>
      </c>
    </row>
    <row r="400" spans="1:7" x14ac:dyDescent="0.2">
      <c r="A400" s="7">
        <v>45276</v>
      </c>
      <c r="B400">
        <v>0</v>
      </c>
      <c r="D400" s="9"/>
      <c r="E400" s="9"/>
      <c r="F400" s="10">
        <v>45276</v>
      </c>
      <c r="G400">
        <v>0</v>
      </c>
    </row>
    <row r="401" spans="1:7" x14ac:dyDescent="0.2">
      <c r="A401" s="7">
        <v>45277</v>
      </c>
      <c r="B401">
        <v>0</v>
      </c>
      <c r="D401" s="9"/>
      <c r="E401" s="9"/>
      <c r="F401" s="10">
        <v>45277</v>
      </c>
      <c r="G401">
        <v>0</v>
      </c>
    </row>
    <row r="402" spans="1:7" x14ac:dyDescent="0.2">
      <c r="A402" s="7">
        <v>45278</v>
      </c>
      <c r="B402">
        <v>0</v>
      </c>
      <c r="D402" s="9"/>
      <c r="E402" s="9"/>
      <c r="F402" s="10">
        <v>45278</v>
      </c>
      <c r="G402">
        <v>0</v>
      </c>
    </row>
    <row r="403" spans="1:7" x14ac:dyDescent="0.2">
      <c r="A403" s="7">
        <v>45279</v>
      </c>
      <c r="B403">
        <v>0</v>
      </c>
      <c r="D403" s="9"/>
      <c r="E403" s="9"/>
      <c r="F403" s="10">
        <v>45279</v>
      </c>
      <c r="G403">
        <v>0</v>
      </c>
    </row>
    <row r="404" spans="1:7" x14ac:dyDescent="0.2">
      <c r="A404" s="7">
        <v>45280</v>
      </c>
      <c r="B404">
        <v>0</v>
      </c>
      <c r="D404" s="9"/>
      <c r="E404" s="9"/>
      <c r="F404" s="10">
        <v>45280</v>
      </c>
      <c r="G404">
        <v>0</v>
      </c>
    </row>
    <row r="405" spans="1:7" x14ac:dyDescent="0.2">
      <c r="A405" s="7">
        <v>45281</v>
      </c>
      <c r="B405">
        <v>0</v>
      </c>
      <c r="D405" s="9"/>
      <c r="E405" s="9"/>
      <c r="F405" s="10">
        <v>45281</v>
      </c>
      <c r="G405">
        <v>0</v>
      </c>
    </row>
    <row r="406" spans="1:7" x14ac:dyDescent="0.2">
      <c r="A406" s="7">
        <v>45282</v>
      </c>
      <c r="B406">
        <v>0</v>
      </c>
      <c r="D406" s="9"/>
      <c r="E406" s="9"/>
      <c r="F406" s="10">
        <v>45282</v>
      </c>
      <c r="G406">
        <v>0</v>
      </c>
    </row>
    <row r="407" spans="1:7" x14ac:dyDescent="0.2">
      <c r="A407" s="7">
        <v>45283</v>
      </c>
      <c r="B407">
        <v>0</v>
      </c>
      <c r="D407" s="9"/>
      <c r="E407" s="9"/>
      <c r="F407" s="10">
        <v>45283</v>
      </c>
      <c r="G407">
        <v>0</v>
      </c>
    </row>
    <row r="408" spans="1:7" x14ac:dyDescent="0.2">
      <c r="A408" s="7">
        <v>45284</v>
      </c>
      <c r="B408">
        <v>0</v>
      </c>
      <c r="D408" s="9"/>
      <c r="E408" s="9"/>
      <c r="F408" s="10">
        <v>45284</v>
      </c>
      <c r="G408">
        <v>0</v>
      </c>
    </row>
    <row r="409" spans="1:7" x14ac:dyDescent="0.2">
      <c r="A409" s="7">
        <v>45285</v>
      </c>
      <c r="B409">
        <v>0</v>
      </c>
      <c r="D409" s="9"/>
      <c r="E409" s="9"/>
      <c r="F409" s="10">
        <v>45285</v>
      </c>
      <c r="G409">
        <v>0</v>
      </c>
    </row>
    <row r="410" spans="1:7" x14ac:dyDescent="0.2">
      <c r="A410" s="7">
        <v>45286</v>
      </c>
      <c r="B410">
        <v>0</v>
      </c>
      <c r="D410" s="9"/>
      <c r="E410" s="9"/>
      <c r="F410" s="10">
        <v>45286</v>
      </c>
      <c r="G410">
        <v>0</v>
      </c>
    </row>
    <row r="411" spans="1:7" x14ac:dyDescent="0.2">
      <c r="A411" s="7">
        <v>45287</v>
      </c>
      <c r="B411">
        <v>0</v>
      </c>
      <c r="D411" s="9"/>
      <c r="E411" s="9"/>
      <c r="F411" s="10">
        <v>45287</v>
      </c>
      <c r="G411">
        <v>0</v>
      </c>
    </row>
    <row r="412" spans="1:7" x14ac:dyDescent="0.2">
      <c r="A412" s="7">
        <v>45288</v>
      </c>
      <c r="B412">
        <v>0</v>
      </c>
      <c r="D412" s="9"/>
      <c r="E412" s="9"/>
      <c r="F412" s="10">
        <v>45288</v>
      </c>
      <c r="G412">
        <v>0</v>
      </c>
    </row>
    <row r="413" spans="1:7" x14ac:dyDescent="0.2">
      <c r="A413" s="7">
        <v>45289</v>
      </c>
      <c r="B413">
        <v>0</v>
      </c>
      <c r="D413" s="9"/>
      <c r="E413" s="9"/>
      <c r="F413" s="10">
        <v>45289</v>
      </c>
      <c r="G413">
        <v>0</v>
      </c>
    </row>
    <row r="414" spans="1:7" x14ac:dyDescent="0.2">
      <c r="A414" s="7">
        <v>45290</v>
      </c>
      <c r="B414">
        <v>0</v>
      </c>
      <c r="D414" s="9"/>
      <c r="E414" s="9"/>
      <c r="F414" s="10">
        <v>45290</v>
      </c>
      <c r="G414">
        <v>0</v>
      </c>
    </row>
    <row r="415" spans="1:7" x14ac:dyDescent="0.2">
      <c r="A415" s="7">
        <v>45291</v>
      </c>
      <c r="B415">
        <v>0</v>
      </c>
      <c r="D415" s="9"/>
      <c r="E415" s="9"/>
      <c r="F415" s="10">
        <v>45291</v>
      </c>
      <c r="G415">
        <v>0</v>
      </c>
    </row>
    <row r="416" spans="1:7" x14ac:dyDescent="0.2">
      <c r="A416" s="7">
        <v>45292</v>
      </c>
      <c r="B416">
        <v>0</v>
      </c>
      <c r="D416" s="9"/>
      <c r="E416" s="9"/>
      <c r="F416" s="10">
        <v>45292</v>
      </c>
      <c r="G416">
        <v>0</v>
      </c>
    </row>
    <row r="417" spans="1:7" x14ac:dyDescent="0.2">
      <c r="A417" s="7">
        <v>45293</v>
      </c>
      <c r="B417">
        <v>0</v>
      </c>
      <c r="D417" s="9"/>
      <c r="E417" s="9"/>
      <c r="F417" s="10">
        <v>45293</v>
      </c>
      <c r="G417">
        <v>0</v>
      </c>
    </row>
    <row r="418" spans="1:7" x14ac:dyDescent="0.2">
      <c r="A418" s="7">
        <v>45294</v>
      </c>
      <c r="B418">
        <v>0</v>
      </c>
      <c r="D418" s="9"/>
      <c r="E418" s="9"/>
      <c r="F418" s="10">
        <v>45294</v>
      </c>
      <c r="G418">
        <v>0</v>
      </c>
    </row>
    <row r="419" spans="1:7" x14ac:dyDescent="0.2">
      <c r="A419" s="7">
        <v>45295</v>
      </c>
      <c r="B419">
        <v>0</v>
      </c>
      <c r="D419" s="9"/>
      <c r="E419" s="9"/>
      <c r="F419" s="10">
        <v>45295</v>
      </c>
      <c r="G419">
        <v>0</v>
      </c>
    </row>
    <row r="420" spans="1:7" x14ac:dyDescent="0.2">
      <c r="A420" s="7">
        <v>45296</v>
      </c>
      <c r="B420">
        <v>0</v>
      </c>
      <c r="D420" s="9"/>
      <c r="E420" s="9"/>
      <c r="F420" s="10">
        <v>45296</v>
      </c>
      <c r="G420">
        <v>0</v>
      </c>
    </row>
    <row r="421" spans="1:7" x14ac:dyDescent="0.2">
      <c r="A421" s="7">
        <v>45297</v>
      </c>
      <c r="B421">
        <v>0</v>
      </c>
      <c r="D421" s="9"/>
      <c r="E421" s="9"/>
      <c r="F421" s="10">
        <v>45297</v>
      </c>
      <c r="G421">
        <v>0</v>
      </c>
    </row>
    <row r="422" spans="1:7" x14ac:dyDescent="0.2">
      <c r="A422" s="7">
        <v>45298</v>
      </c>
      <c r="B422">
        <v>0</v>
      </c>
      <c r="D422" s="9"/>
      <c r="E422" s="9"/>
      <c r="F422" s="10">
        <v>45298</v>
      </c>
      <c r="G422">
        <v>0</v>
      </c>
    </row>
    <row r="423" spans="1:7" x14ac:dyDescent="0.2">
      <c r="A423" s="7">
        <v>45299</v>
      </c>
      <c r="B423">
        <v>1</v>
      </c>
      <c r="D423" s="9"/>
      <c r="E423" s="9"/>
      <c r="F423" s="10">
        <v>45299</v>
      </c>
      <c r="G423">
        <v>700</v>
      </c>
    </row>
    <row r="424" spans="1:7" x14ac:dyDescent="0.2">
      <c r="A424" s="7">
        <v>45300</v>
      </c>
      <c r="B424">
        <v>0</v>
      </c>
      <c r="D424" s="9"/>
      <c r="E424" s="9"/>
      <c r="F424" s="10">
        <v>45300</v>
      </c>
      <c r="G424">
        <v>0</v>
      </c>
    </row>
    <row r="425" spans="1:7" x14ac:dyDescent="0.2">
      <c r="A425" s="7">
        <v>45301</v>
      </c>
      <c r="B425">
        <v>0</v>
      </c>
      <c r="D425" s="9"/>
      <c r="E425" s="9"/>
      <c r="F425" s="10">
        <v>45301</v>
      </c>
      <c r="G425">
        <v>0</v>
      </c>
    </row>
    <row r="426" spans="1:7" x14ac:dyDescent="0.2">
      <c r="A426" s="7">
        <v>45302</v>
      </c>
      <c r="B426">
        <v>0</v>
      </c>
      <c r="D426" s="9"/>
      <c r="E426" s="9"/>
      <c r="F426" s="10">
        <v>45302</v>
      </c>
      <c r="G426">
        <v>0</v>
      </c>
    </row>
    <row r="427" spans="1:7" x14ac:dyDescent="0.2">
      <c r="A427" s="7">
        <v>45303</v>
      </c>
      <c r="B427">
        <v>0</v>
      </c>
      <c r="D427" s="9"/>
      <c r="E427" s="9"/>
      <c r="F427" s="10">
        <v>45303</v>
      </c>
      <c r="G427">
        <v>0</v>
      </c>
    </row>
    <row r="428" spans="1:7" x14ac:dyDescent="0.2">
      <c r="A428" s="7">
        <v>45304</v>
      </c>
      <c r="B428">
        <v>0</v>
      </c>
      <c r="D428" s="9"/>
      <c r="E428" s="9"/>
      <c r="F428" s="10">
        <v>45304</v>
      </c>
      <c r="G428">
        <v>0</v>
      </c>
    </row>
    <row r="429" spans="1:7" x14ac:dyDescent="0.2">
      <c r="A429" s="7">
        <v>45305</v>
      </c>
      <c r="B429">
        <v>0</v>
      </c>
      <c r="D429" s="9"/>
      <c r="E429" s="9"/>
      <c r="F429" s="10">
        <v>45305</v>
      </c>
      <c r="G429">
        <v>0</v>
      </c>
    </row>
    <row r="430" spans="1:7" x14ac:dyDescent="0.2">
      <c r="A430" s="7">
        <v>45306</v>
      </c>
      <c r="B430">
        <v>0</v>
      </c>
      <c r="D430" s="9"/>
      <c r="E430" s="9"/>
      <c r="F430" s="10">
        <v>45306</v>
      </c>
      <c r="G430">
        <v>0</v>
      </c>
    </row>
    <row r="431" spans="1:7" x14ac:dyDescent="0.2">
      <c r="A431" s="7">
        <v>45307</v>
      </c>
      <c r="B431">
        <v>1</v>
      </c>
      <c r="D431" s="9"/>
      <c r="E431" s="9"/>
      <c r="F431" s="10">
        <v>45307</v>
      </c>
      <c r="G431">
        <v>300</v>
      </c>
    </row>
    <row r="432" spans="1:7" x14ac:dyDescent="0.2">
      <c r="A432" s="7">
        <v>45308</v>
      </c>
      <c r="B432">
        <v>0</v>
      </c>
      <c r="D432" s="9"/>
      <c r="E432" s="9"/>
      <c r="F432" s="10">
        <v>45308</v>
      </c>
      <c r="G432">
        <v>0</v>
      </c>
    </row>
    <row r="433" spans="1:7" x14ac:dyDescent="0.2">
      <c r="A433" s="7">
        <v>45309</v>
      </c>
      <c r="B433">
        <v>0</v>
      </c>
      <c r="D433" s="9"/>
      <c r="E433" s="9"/>
      <c r="F433" s="10">
        <v>45309</v>
      </c>
      <c r="G433">
        <v>0</v>
      </c>
    </row>
    <row r="434" spans="1:7" x14ac:dyDescent="0.2">
      <c r="A434" s="7">
        <v>45310</v>
      </c>
      <c r="B434">
        <v>0</v>
      </c>
      <c r="D434" s="9"/>
      <c r="E434" s="9"/>
      <c r="F434" s="10">
        <v>45310</v>
      </c>
      <c r="G434">
        <v>0</v>
      </c>
    </row>
    <row r="435" spans="1:7" x14ac:dyDescent="0.2">
      <c r="A435" s="7">
        <v>45311</v>
      </c>
      <c r="B435">
        <v>0</v>
      </c>
      <c r="D435" s="9"/>
      <c r="E435" s="9"/>
      <c r="F435" s="10">
        <v>45311</v>
      </c>
      <c r="G435">
        <v>0</v>
      </c>
    </row>
    <row r="436" spans="1:7" x14ac:dyDescent="0.2">
      <c r="A436" s="7">
        <v>45312</v>
      </c>
      <c r="B436">
        <v>0</v>
      </c>
      <c r="D436" s="9"/>
      <c r="E436" s="9"/>
      <c r="F436" s="10">
        <v>45312</v>
      </c>
      <c r="G436">
        <v>0</v>
      </c>
    </row>
    <row r="437" spans="1:7" x14ac:dyDescent="0.2">
      <c r="A437" s="7">
        <v>45313</v>
      </c>
      <c r="B437">
        <v>2</v>
      </c>
      <c r="D437" s="9"/>
      <c r="E437" s="9"/>
      <c r="F437" s="10">
        <v>45313</v>
      </c>
      <c r="G437">
        <v>1150</v>
      </c>
    </row>
    <row r="438" spans="1:7" x14ac:dyDescent="0.2">
      <c r="A438" s="7">
        <v>45314</v>
      </c>
      <c r="B438">
        <v>0</v>
      </c>
      <c r="D438" s="9"/>
      <c r="E438" s="9"/>
      <c r="F438" s="10">
        <v>45314</v>
      </c>
      <c r="G438">
        <v>0</v>
      </c>
    </row>
    <row r="439" spans="1:7" x14ac:dyDescent="0.2">
      <c r="A439" s="7">
        <v>45315</v>
      </c>
      <c r="B439">
        <v>1</v>
      </c>
      <c r="D439" s="9"/>
      <c r="E439" s="9"/>
      <c r="F439" s="10">
        <v>45315</v>
      </c>
      <c r="G439">
        <v>300</v>
      </c>
    </row>
    <row r="440" spans="1:7" x14ac:dyDescent="0.2">
      <c r="A440" s="7">
        <v>45316</v>
      </c>
      <c r="B440">
        <v>0</v>
      </c>
      <c r="D440" s="9"/>
      <c r="E440" s="9"/>
      <c r="F440" s="10">
        <v>45316</v>
      </c>
      <c r="G440">
        <v>0</v>
      </c>
    </row>
    <row r="441" spans="1:7" x14ac:dyDescent="0.2">
      <c r="A441" s="7">
        <v>45317</v>
      </c>
      <c r="B441">
        <v>0</v>
      </c>
      <c r="D441" s="9"/>
      <c r="E441" s="9"/>
      <c r="F441" s="10">
        <v>45317</v>
      </c>
      <c r="G441">
        <v>0</v>
      </c>
    </row>
    <row r="442" spans="1:7" x14ac:dyDescent="0.2">
      <c r="A442" s="7">
        <v>45318</v>
      </c>
      <c r="B442">
        <v>0</v>
      </c>
      <c r="D442" s="9"/>
      <c r="E442" s="9"/>
      <c r="F442" s="10">
        <v>45318</v>
      </c>
      <c r="G442">
        <v>0</v>
      </c>
    </row>
    <row r="443" spans="1:7" x14ac:dyDescent="0.2">
      <c r="A443" s="7">
        <v>45319</v>
      </c>
      <c r="B443">
        <v>0</v>
      </c>
      <c r="D443" s="9"/>
      <c r="E443" s="9"/>
      <c r="F443" s="10">
        <v>45319</v>
      </c>
      <c r="G443">
        <v>0</v>
      </c>
    </row>
    <row r="444" spans="1:7" x14ac:dyDescent="0.2">
      <c r="A444" s="7">
        <v>45320</v>
      </c>
      <c r="B444">
        <v>0</v>
      </c>
      <c r="D444" s="9"/>
      <c r="E444" s="9"/>
      <c r="F444" s="10">
        <v>45320</v>
      </c>
      <c r="G444">
        <v>0</v>
      </c>
    </row>
    <row r="445" spans="1:7" x14ac:dyDescent="0.2">
      <c r="A445" s="7">
        <v>45321</v>
      </c>
      <c r="B445">
        <v>0</v>
      </c>
      <c r="D445" s="9"/>
      <c r="E445" s="9"/>
      <c r="F445" s="10">
        <v>45321</v>
      </c>
      <c r="G445">
        <v>0</v>
      </c>
    </row>
    <row r="446" spans="1:7" x14ac:dyDescent="0.2">
      <c r="A446" s="7">
        <v>45322</v>
      </c>
      <c r="B446">
        <v>2</v>
      </c>
      <c r="D446" s="9"/>
      <c r="E446" s="9"/>
      <c r="F446" s="10">
        <v>45322</v>
      </c>
      <c r="G446">
        <v>1150</v>
      </c>
    </row>
    <row r="447" spans="1:7" x14ac:dyDescent="0.2">
      <c r="A447" s="7">
        <v>45323</v>
      </c>
      <c r="B447">
        <v>0</v>
      </c>
      <c r="D447" s="9"/>
      <c r="E447" s="9"/>
      <c r="F447" s="10">
        <v>45323</v>
      </c>
      <c r="G447">
        <v>0</v>
      </c>
    </row>
    <row r="448" spans="1:7" x14ac:dyDescent="0.2">
      <c r="A448" s="7">
        <v>45324</v>
      </c>
      <c r="B448">
        <v>0</v>
      </c>
      <c r="D448" s="9"/>
      <c r="E448" s="9"/>
      <c r="F448" s="10">
        <v>45324</v>
      </c>
      <c r="G448">
        <v>0</v>
      </c>
    </row>
    <row r="449" spans="1:7" x14ac:dyDescent="0.2">
      <c r="A449" s="7">
        <v>45325</v>
      </c>
      <c r="B449">
        <v>0</v>
      </c>
      <c r="D449" s="9"/>
      <c r="E449" s="9"/>
      <c r="F449" s="10">
        <v>45325</v>
      </c>
      <c r="G449">
        <v>0</v>
      </c>
    </row>
    <row r="450" spans="1:7" x14ac:dyDescent="0.2">
      <c r="A450" s="7">
        <v>45326</v>
      </c>
      <c r="B450">
        <v>0</v>
      </c>
      <c r="D450" s="9"/>
      <c r="E450" s="9"/>
      <c r="F450" s="10">
        <v>45326</v>
      </c>
      <c r="G450">
        <v>0</v>
      </c>
    </row>
    <row r="451" spans="1:7" x14ac:dyDescent="0.2">
      <c r="A451" s="7">
        <v>45327</v>
      </c>
      <c r="B451">
        <v>0</v>
      </c>
      <c r="D451" s="9"/>
      <c r="E451" s="9"/>
      <c r="F451" s="10">
        <v>45327</v>
      </c>
      <c r="G451">
        <v>0</v>
      </c>
    </row>
    <row r="452" spans="1:7" x14ac:dyDescent="0.2">
      <c r="A452" s="7">
        <v>45328</v>
      </c>
      <c r="B452">
        <v>0</v>
      </c>
      <c r="D452" s="9"/>
      <c r="E452" s="9"/>
      <c r="F452" s="10">
        <v>45328</v>
      </c>
      <c r="G452">
        <v>0</v>
      </c>
    </row>
    <row r="453" spans="1:7" x14ac:dyDescent="0.2">
      <c r="A453" s="7">
        <v>45329</v>
      </c>
      <c r="B453">
        <v>0</v>
      </c>
      <c r="D453" s="9"/>
      <c r="E453" s="9"/>
      <c r="F453" s="10">
        <v>45329</v>
      </c>
      <c r="G453">
        <v>0</v>
      </c>
    </row>
    <row r="454" spans="1:7" x14ac:dyDescent="0.2">
      <c r="A454" s="7">
        <v>45330</v>
      </c>
      <c r="B454">
        <v>1</v>
      </c>
      <c r="D454" s="9"/>
      <c r="E454" s="9"/>
      <c r="F454" s="10">
        <v>45330</v>
      </c>
      <c r="G454">
        <v>300</v>
      </c>
    </row>
    <row r="455" spans="1:7" x14ac:dyDescent="0.2">
      <c r="A455" s="7">
        <v>45331</v>
      </c>
      <c r="B455">
        <v>1</v>
      </c>
      <c r="D455" s="9"/>
      <c r="E455" s="9"/>
      <c r="F455" s="10">
        <v>45331</v>
      </c>
      <c r="G455">
        <v>450</v>
      </c>
    </row>
    <row r="456" spans="1:7" x14ac:dyDescent="0.2">
      <c r="A456" s="7">
        <v>45332</v>
      </c>
      <c r="B456">
        <v>0</v>
      </c>
      <c r="D456" s="9"/>
      <c r="E456" s="9"/>
      <c r="F456" s="10">
        <v>45332</v>
      </c>
      <c r="G456">
        <v>0</v>
      </c>
    </row>
    <row r="457" spans="1:7" x14ac:dyDescent="0.2">
      <c r="A457" s="7">
        <v>45333</v>
      </c>
      <c r="B457">
        <v>1</v>
      </c>
      <c r="D457" s="9"/>
      <c r="E457" s="9"/>
      <c r="F457" s="10">
        <v>45333</v>
      </c>
      <c r="G457">
        <v>700</v>
      </c>
    </row>
    <row r="458" spans="1:7" x14ac:dyDescent="0.2">
      <c r="A458" s="7">
        <v>45334</v>
      </c>
      <c r="B458">
        <v>0</v>
      </c>
      <c r="D458" s="9"/>
      <c r="E458" s="9"/>
      <c r="F458" s="10">
        <v>45334</v>
      </c>
      <c r="G458">
        <v>0</v>
      </c>
    </row>
    <row r="459" spans="1:7" x14ac:dyDescent="0.2">
      <c r="A459" s="7">
        <v>45335</v>
      </c>
      <c r="B459">
        <v>0</v>
      </c>
      <c r="D459" s="9"/>
      <c r="E459" s="9"/>
      <c r="F459" s="10">
        <v>45335</v>
      </c>
      <c r="G459">
        <v>0</v>
      </c>
    </row>
    <row r="460" spans="1:7" x14ac:dyDescent="0.2">
      <c r="A460" s="7">
        <v>45336</v>
      </c>
      <c r="B460">
        <v>0</v>
      </c>
      <c r="D460" s="9"/>
      <c r="E460" s="9"/>
      <c r="F460" s="10">
        <v>45336</v>
      </c>
      <c r="G460">
        <v>0</v>
      </c>
    </row>
    <row r="461" spans="1:7" x14ac:dyDescent="0.2">
      <c r="A461" s="7">
        <v>45337</v>
      </c>
      <c r="B461">
        <v>0</v>
      </c>
      <c r="D461" s="9"/>
      <c r="E461" s="9"/>
      <c r="F461" s="10">
        <v>45337</v>
      </c>
      <c r="G461">
        <v>0</v>
      </c>
    </row>
    <row r="462" spans="1:7" x14ac:dyDescent="0.2">
      <c r="A462" s="7">
        <v>45338</v>
      </c>
      <c r="B462">
        <v>1</v>
      </c>
      <c r="D462" s="9"/>
      <c r="E462" s="9"/>
      <c r="F462" s="10">
        <v>45338</v>
      </c>
      <c r="G462">
        <v>300</v>
      </c>
    </row>
    <row r="463" spans="1:7" x14ac:dyDescent="0.2">
      <c r="A463" s="7">
        <v>45339</v>
      </c>
      <c r="B463">
        <v>0</v>
      </c>
      <c r="D463" s="9"/>
      <c r="E463" s="9"/>
      <c r="F463" s="10">
        <v>45339</v>
      </c>
      <c r="G463">
        <v>0</v>
      </c>
    </row>
    <row r="464" spans="1:7" x14ac:dyDescent="0.2">
      <c r="A464" s="7">
        <v>45340</v>
      </c>
      <c r="B464">
        <v>0</v>
      </c>
      <c r="D464" s="9"/>
      <c r="E464" s="9"/>
      <c r="F464" s="10">
        <v>45340</v>
      </c>
      <c r="G464">
        <v>0</v>
      </c>
    </row>
    <row r="465" spans="1:7" x14ac:dyDescent="0.2">
      <c r="A465" s="7">
        <v>45341</v>
      </c>
      <c r="B465">
        <v>0</v>
      </c>
      <c r="D465" s="9"/>
      <c r="E465" s="9"/>
      <c r="F465" s="10">
        <v>45341</v>
      </c>
      <c r="G465">
        <v>0</v>
      </c>
    </row>
    <row r="466" spans="1:7" x14ac:dyDescent="0.2">
      <c r="A466" s="7">
        <v>45342</v>
      </c>
      <c r="B466">
        <v>0</v>
      </c>
      <c r="D466" s="9"/>
      <c r="E466" s="9"/>
      <c r="F466" s="10">
        <v>45342</v>
      </c>
      <c r="G466">
        <v>0</v>
      </c>
    </row>
    <row r="467" spans="1:7" x14ac:dyDescent="0.2">
      <c r="A467" s="7">
        <v>45343</v>
      </c>
      <c r="B467">
        <v>1</v>
      </c>
      <c r="D467" s="9"/>
      <c r="E467" s="9"/>
      <c r="F467" s="10">
        <v>45343</v>
      </c>
      <c r="G467">
        <v>450</v>
      </c>
    </row>
    <row r="468" spans="1:7" x14ac:dyDescent="0.2">
      <c r="A468" s="7">
        <v>45344</v>
      </c>
      <c r="B468">
        <v>0</v>
      </c>
      <c r="D468" s="9"/>
      <c r="E468" s="9"/>
      <c r="F468" s="10">
        <v>45344</v>
      </c>
      <c r="G468">
        <v>0</v>
      </c>
    </row>
    <row r="469" spans="1:7" x14ac:dyDescent="0.2">
      <c r="A469" s="7">
        <v>45345</v>
      </c>
      <c r="B469">
        <v>1</v>
      </c>
      <c r="D469" s="9"/>
      <c r="E469" s="9"/>
      <c r="F469" s="10">
        <v>45345</v>
      </c>
      <c r="G469">
        <v>700</v>
      </c>
    </row>
    <row r="470" spans="1:7" x14ac:dyDescent="0.2">
      <c r="A470" s="7">
        <v>45346</v>
      </c>
      <c r="B470">
        <v>0</v>
      </c>
      <c r="D470" s="9"/>
      <c r="E470" s="9"/>
      <c r="F470" s="10">
        <v>45346</v>
      </c>
      <c r="G470">
        <v>0</v>
      </c>
    </row>
    <row r="471" spans="1:7" x14ac:dyDescent="0.2">
      <c r="A471" s="7">
        <v>45347</v>
      </c>
      <c r="B471">
        <v>0</v>
      </c>
      <c r="D471" s="9"/>
      <c r="E471" s="9"/>
      <c r="F471" s="10">
        <v>45347</v>
      </c>
      <c r="G471">
        <v>0</v>
      </c>
    </row>
    <row r="472" spans="1:7" x14ac:dyDescent="0.2">
      <c r="A472" s="7">
        <v>45348</v>
      </c>
      <c r="B472">
        <v>0</v>
      </c>
      <c r="D472" s="9"/>
      <c r="E472" s="9"/>
      <c r="F472" s="10">
        <v>45348</v>
      </c>
      <c r="G472">
        <v>0</v>
      </c>
    </row>
    <row r="473" spans="1:7" x14ac:dyDescent="0.2">
      <c r="A473" s="7">
        <v>45349</v>
      </c>
      <c r="B473">
        <v>1</v>
      </c>
      <c r="D473" s="9"/>
      <c r="E473" s="9"/>
      <c r="F473" s="10">
        <v>45349</v>
      </c>
      <c r="G473">
        <v>300</v>
      </c>
    </row>
    <row r="474" spans="1:7" x14ac:dyDescent="0.2">
      <c r="A474" s="7">
        <v>45350</v>
      </c>
      <c r="B474">
        <v>2</v>
      </c>
      <c r="D474" s="9"/>
      <c r="E474" s="9"/>
      <c r="F474" s="10">
        <v>45350</v>
      </c>
      <c r="G474">
        <v>1150</v>
      </c>
    </row>
    <row r="475" spans="1:7" x14ac:dyDescent="0.2">
      <c r="A475" s="7">
        <v>45351</v>
      </c>
      <c r="B475">
        <v>0</v>
      </c>
      <c r="D475" s="9"/>
      <c r="E475" s="9"/>
      <c r="F475" s="10">
        <v>45351</v>
      </c>
      <c r="G475">
        <v>0</v>
      </c>
    </row>
    <row r="476" spans="1:7" x14ac:dyDescent="0.2">
      <c r="A476" s="7">
        <v>45352</v>
      </c>
      <c r="B476">
        <v>0</v>
      </c>
      <c r="D476" s="9"/>
      <c r="E476" s="9"/>
      <c r="F476" s="10">
        <v>45352</v>
      </c>
      <c r="G476">
        <v>0</v>
      </c>
    </row>
    <row r="477" spans="1:7" x14ac:dyDescent="0.2">
      <c r="A477" s="7">
        <v>45353</v>
      </c>
      <c r="B477">
        <v>2</v>
      </c>
      <c r="D477" s="9"/>
      <c r="E477" s="9"/>
      <c r="F477" s="10">
        <v>45353</v>
      </c>
      <c r="G477">
        <v>750</v>
      </c>
    </row>
    <row r="478" spans="1:7" x14ac:dyDescent="0.2">
      <c r="A478" s="7">
        <v>45354</v>
      </c>
      <c r="B478">
        <v>0</v>
      </c>
      <c r="D478" s="9"/>
      <c r="E478" s="9"/>
      <c r="F478" s="10">
        <v>45354</v>
      </c>
      <c r="G478">
        <v>0</v>
      </c>
    </row>
    <row r="479" spans="1:7" x14ac:dyDescent="0.2">
      <c r="A479" s="7">
        <v>45355</v>
      </c>
      <c r="B479">
        <v>0</v>
      </c>
      <c r="D479" s="9"/>
      <c r="E479" s="9"/>
      <c r="F479" s="10">
        <v>45355</v>
      </c>
      <c r="G479">
        <v>0</v>
      </c>
    </row>
    <row r="480" spans="1:7" x14ac:dyDescent="0.2">
      <c r="A480" s="7">
        <v>45356</v>
      </c>
      <c r="B480">
        <v>0</v>
      </c>
      <c r="D480" s="9"/>
      <c r="E480" s="9"/>
      <c r="F480" s="10">
        <v>45356</v>
      </c>
      <c r="G480">
        <v>0</v>
      </c>
    </row>
    <row r="481" spans="1:7" x14ac:dyDescent="0.2">
      <c r="A481" s="7">
        <v>45357</v>
      </c>
      <c r="B481">
        <v>0</v>
      </c>
      <c r="D481" s="9"/>
      <c r="E481" s="9"/>
      <c r="F481" s="10">
        <v>45357</v>
      </c>
      <c r="G481">
        <v>0</v>
      </c>
    </row>
    <row r="482" spans="1:7" x14ac:dyDescent="0.2">
      <c r="A482" s="7">
        <v>45358</v>
      </c>
      <c r="B482">
        <v>0</v>
      </c>
      <c r="D482" s="9"/>
      <c r="E482" s="9"/>
      <c r="F482" s="10">
        <v>45358</v>
      </c>
      <c r="G482">
        <v>0</v>
      </c>
    </row>
    <row r="483" spans="1:7" x14ac:dyDescent="0.2">
      <c r="A483" s="7">
        <v>45359</v>
      </c>
      <c r="B483">
        <v>0</v>
      </c>
      <c r="D483" s="9"/>
      <c r="E483" s="9"/>
      <c r="F483" s="10">
        <v>45359</v>
      </c>
      <c r="G483">
        <v>0</v>
      </c>
    </row>
    <row r="484" spans="1:7" x14ac:dyDescent="0.2">
      <c r="A484" s="7">
        <v>45360</v>
      </c>
      <c r="B484">
        <v>0</v>
      </c>
      <c r="D484" s="9"/>
      <c r="E484" s="9"/>
      <c r="F484" s="10">
        <v>45360</v>
      </c>
      <c r="G484">
        <v>0</v>
      </c>
    </row>
    <row r="485" spans="1:7" x14ac:dyDescent="0.2">
      <c r="A485" s="7">
        <v>45361</v>
      </c>
      <c r="B485">
        <v>0</v>
      </c>
      <c r="D485" s="9"/>
      <c r="E485" s="9"/>
      <c r="F485" s="10">
        <v>45361</v>
      </c>
      <c r="G485">
        <v>0</v>
      </c>
    </row>
    <row r="486" spans="1:7" x14ac:dyDescent="0.2">
      <c r="A486" s="7">
        <v>45362</v>
      </c>
      <c r="B486">
        <v>0</v>
      </c>
      <c r="D486" s="9"/>
      <c r="E486" s="9"/>
      <c r="F486" s="10">
        <v>45362</v>
      </c>
      <c r="G486">
        <v>0</v>
      </c>
    </row>
    <row r="487" spans="1:7" x14ac:dyDescent="0.2">
      <c r="A487" s="7">
        <v>45363</v>
      </c>
      <c r="B487">
        <v>0</v>
      </c>
      <c r="D487" s="9"/>
      <c r="E487" s="9"/>
      <c r="F487" s="10">
        <v>45363</v>
      </c>
      <c r="G487">
        <v>0</v>
      </c>
    </row>
    <row r="488" spans="1:7" x14ac:dyDescent="0.2">
      <c r="A488" s="7">
        <v>45364</v>
      </c>
      <c r="B488">
        <v>0</v>
      </c>
      <c r="D488" s="9"/>
      <c r="E488" s="9"/>
      <c r="F488" s="10">
        <v>45364</v>
      </c>
      <c r="G488">
        <v>0</v>
      </c>
    </row>
    <row r="489" spans="1:7" x14ac:dyDescent="0.2">
      <c r="A489" s="7">
        <v>45365</v>
      </c>
      <c r="B489">
        <v>0</v>
      </c>
      <c r="D489" s="9"/>
      <c r="E489" s="9"/>
      <c r="F489" s="10">
        <v>45365</v>
      </c>
      <c r="G489">
        <v>0</v>
      </c>
    </row>
    <row r="490" spans="1:7" x14ac:dyDescent="0.2">
      <c r="A490" s="7">
        <v>45366</v>
      </c>
      <c r="B490">
        <v>0</v>
      </c>
      <c r="D490" s="9"/>
      <c r="E490" s="9"/>
      <c r="F490" s="10">
        <v>45366</v>
      </c>
      <c r="G490">
        <v>0</v>
      </c>
    </row>
    <row r="491" spans="1:7" x14ac:dyDescent="0.2">
      <c r="A491" s="7">
        <v>45367</v>
      </c>
      <c r="B491">
        <v>0</v>
      </c>
      <c r="D491" s="9"/>
      <c r="E491" s="9"/>
      <c r="F491" s="10">
        <v>45367</v>
      </c>
      <c r="G491">
        <v>0</v>
      </c>
    </row>
    <row r="492" spans="1:7" x14ac:dyDescent="0.2">
      <c r="A492" s="7">
        <v>45368</v>
      </c>
      <c r="B492">
        <v>1</v>
      </c>
      <c r="D492" s="9"/>
      <c r="E492" s="9"/>
      <c r="F492" s="10">
        <v>45368</v>
      </c>
      <c r="G492">
        <v>700</v>
      </c>
    </row>
    <row r="493" spans="1:7" x14ac:dyDescent="0.2">
      <c r="A493" s="7">
        <v>45369</v>
      </c>
      <c r="B493">
        <v>0</v>
      </c>
      <c r="D493" s="9"/>
      <c r="E493" s="9"/>
      <c r="F493" s="10">
        <v>45369</v>
      </c>
      <c r="G493">
        <v>0</v>
      </c>
    </row>
    <row r="494" spans="1:7" x14ac:dyDescent="0.2">
      <c r="A494" s="7">
        <v>45370</v>
      </c>
      <c r="B494">
        <v>0</v>
      </c>
      <c r="D494" s="9"/>
      <c r="E494" s="9"/>
      <c r="F494" s="10">
        <v>45370</v>
      </c>
      <c r="G494">
        <v>0</v>
      </c>
    </row>
    <row r="495" spans="1:7" x14ac:dyDescent="0.2">
      <c r="A495" s="7">
        <v>45371</v>
      </c>
      <c r="B495">
        <v>0</v>
      </c>
      <c r="D495" s="9"/>
      <c r="E495" s="9"/>
      <c r="F495" s="10">
        <v>45371</v>
      </c>
      <c r="G495">
        <v>0</v>
      </c>
    </row>
    <row r="496" spans="1:7" x14ac:dyDescent="0.2">
      <c r="A496" s="7">
        <v>45372</v>
      </c>
      <c r="B496">
        <v>0</v>
      </c>
      <c r="D496" s="9"/>
      <c r="E496" s="9"/>
      <c r="F496" s="10">
        <v>45372</v>
      </c>
      <c r="G496">
        <v>0</v>
      </c>
    </row>
    <row r="497" spans="1:7" x14ac:dyDescent="0.2">
      <c r="A497" s="7">
        <v>45373</v>
      </c>
      <c r="B497">
        <v>1</v>
      </c>
      <c r="D497" s="9"/>
      <c r="E497" s="9"/>
      <c r="F497" s="10">
        <v>45373</v>
      </c>
      <c r="G497">
        <v>300</v>
      </c>
    </row>
    <row r="498" spans="1:7" x14ac:dyDescent="0.2">
      <c r="A498" s="7">
        <v>45374</v>
      </c>
      <c r="B498">
        <v>0</v>
      </c>
      <c r="D498" s="9"/>
      <c r="E498" s="9"/>
      <c r="F498" s="10">
        <v>45374</v>
      </c>
      <c r="G498">
        <v>0</v>
      </c>
    </row>
    <row r="499" spans="1:7" x14ac:dyDescent="0.2">
      <c r="A499" s="7">
        <v>45375</v>
      </c>
      <c r="B499">
        <v>1</v>
      </c>
      <c r="D499" s="9"/>
      <c r="E499" s="9"/>
      <c r="F499" s="10">
        <v>45375</v>
      </c>
      <c r="G499">
        <v>450</v>
      </c>
    </row>
    <row r="500" spans="1:7" x14ac:dyDescent="0.2">
      <c r="A500" s="7">
        <v>45376</v>
      </c>
      <c r="B500">
        <v>0</v>
      </c>
      <c r="D500" s="9"/>
      <c r="E500" s="9"/>
      <c r="F500" s="10">
        <v>45376</v>
      </c>
      <c r="G500">
        <v>0</v>
      </c>
    </row>
    <row r="501" spans="1:7" x14ac:dyDescent="0.2">
      <c r="A501" s="7">
        <v>45377</v>
      </c>
      <c r="B501">
        <v>0</v>
      </c>
      <c r="D501" s="9"/>
      <c r="E501" s="9"/>
      <c r="F501" s="10">
        <v>45377</v>
      </c>
      <c r="G501">
        <v>0</v>
      </c>
    </row>
    <row r="502" spans="1:7" x14ac:dyDescent="0.2">
      <c r="A502" s="7">
        <v>45378</v>
      </c>
      <c r="B502">
        <v>0</v>
      </c>
      <c r="D502" s="9"/>
      <c r="E502" s="9"/>
      <c r="F502" s="10">
        <v>45378</v>
      </c>
      <c r="G502">
        <v>0</v>
      </c>
    </row>
    <row r="503" spans="1:7" x14ac:dyDescent="0.2">
      <c r="A503" s="7">
        <v>45379</v>
      </c>
      <c r="B503">
        <v>0</v>
      </c>
      <c r="D503" s="9"/>
      <c r="E503" s="9"/>
      <c r="F503" s="10">
        <v>45379</v>
      </c>
      <c r="G503">
        <v>0</v>
      </c>
    </row>
    <row r="504" spans="1:7" x14ac:dyDescent="0.2">
      <c r="A504" s="7">
        <v>45380</v>
      </c>
      <c r="B504">
        <v>0</v>
      </c>
      <c r="D504" s="9"/>
      <c r="E504" s="9"/>
      <c r="F504" s="10">
        <v>45380</v>
      </c>
      <c r="G504">
        <v>0</v>
      </c>
    </row>
    <row r="505" spans="1:7" x14ac:dyDescent="0.2">
      <c r="A505" s="7">
        <v>45381</v>
      </c>
      <c r="B505">
        <v>0</v>
      </c>
      <c r="D505" s="9"/>
      <c r="E505" s="9"/>
      <c r="F505" s="10">
        <v>45381</v>
      </c>
      <c r="G505">
        <v>0</v>
      </c>
    </row>
    <row r="506" spans="1:7" x14ac:dyDescent="0.2">
      <c r="A506" s="7">
        <v>45382</v>
      </c>
      <c r="B506">
        <v>0</v>
      </c>
      <c r="D506" s="9"/>
      <c r="E506" s="9"/>
      <c r="F506" s="10">
        <v>45382</v>
      </c>
      <c r="G506">
        <v>0</v>
      </c>
    </row>
    <row r="507" spans="1:7" x14ac:dyDescent="0.2">
      <c r="A507" s="7">
        <v>45383</v>
      </c>
      <c r="B507">
        <v>0</v>
      </c>
      <c r="D507" s="9"/>
      <c r="E507" s="9"/>
      <c r="F507" s="10">
        <v>45383</v>
      </c>
      <c r="G507">
        <v>0</v>
      </c>
    </row>
    <row r="508" spans="1:7" x14ac:dyDescent="0.2">
      <c r="A508" s="7">
        <v>45384</v>
      </c>
      <c r="B508">
        <v>0</v>
      </c>
      <c r="D508" s="9"/>
      <c r="E508" s="9"/>
      <c r="F508" s="10">
        <v>45384</v>
      </c>
      <c r="G508">
        <v>0</v>
      </c>
    </row>
    <row r="509" spans="1:7" x14ac:dyDescent="0.2">
      <c r="A509" s="7">
        <v>45385</v>
      </c>
      <c r="B509">
        <v>0</v>
      </c>
      <c r="D509" s="9"/>
      <c r="E509" s="9"/>
      <c r="F509" s="10">
        <v>45385</v>
      </c>
      <c r="G509">
        <v>0</v>
      </c>
    </row>
    <row r="510" spans="1:7" x14ac:dyDescent="0.2">
      <c r="A510" s="7">
        <v>45386</v>
      </c>
      <c r="B510">
        <v>0</v>
      </c>
      <c r="D510" s="9"/>
      <c r="E510" s="9"/>
      <c r="F510" s="10">
        <v>45386</v>
      </c>
      <c r="G510">
        <v>0</v>
      </c>
    </row>
    <row r="511" spans="1:7" x14ac:dyDescent="0.2">
      <c r="A511" s="7">
        <v>45387</v>
      </c>
      <c r="B511">
        <v>0</v>
      </c>
      <c r="D511" s="9"/>
      <c r="E511" s="9"/>
      <c r="F511" s="10">
        <v>45387</v>
      </c>
      <c r="G511">
        <v>0</v>
      </c>
    </row>
    <row r="512" spans="1:7" x14ac:dyDescent="0.2">
      <c r="A512" s="7">
        <v>45388</v>
      </c>
      <c r="B512">
        <v>0</v>
      </c>
      <c r="D512" s="9"/>
      <c r="E512" s="9"/>
      <c r="F512" s="10">
        <v>45388</v>
      </c>
      <c r="G512">
        <v>0</v>
      </c>
    </row>
    <row r="513" spans="1:7" x14ac:dyDescent="0.2">
      <c r="A513" s="7">
        <v>45389</v>
      </c>
      <c r="B513">
        <v>0</v>
      </c>
      <c r="D513" s="9"/>
      <c r="E513" s="9"/>
      <c r="F513" s="10">
        <v>45389</v>
      </c>
      <c r="G513">
        <v>0</v>
      </c>
    </row>
    <row r="514" spans="1:7" x14ac:dyDescent="0.2">
      <c r="A514" s="7">
        <v>45390</v>
      </c>
      <c r="B514">
        <v>0</v>
      </c>
      <c r="D514" s="9"/>
      <c r="E514" s="9"/>
      <c r="F514" s="10">
        <v>45390</v>
      </c>
      <c r="G514">
        <v>0</v>
      </c>
    </row>
    <row r="515" spans="1:7" x14ac:dyDescent="0.2">
      <c r="A515" s="7">
        <v>45391</v>
      </c>
      <c r="B515">
        <v>1</v>
      </c>
      <c r="D515" s="9"/>
      <c r="E515" s="9"/>
      <c r="F515" s="10">
        <v>45391</v>
      </c>
      <c r="G515">
        <v>700</v>
      </c>
    </row>
    <row r="516" spans="1:7" x14ac:dyDescent="0.2">
      <c r="A516" s="7">
        <v>45392</v>
      </c>
      <c r="B516">
        <v>0</v>
      </c>
      <c r="D516" s="9"/>
      <c r="E516" s="9"/>
      <c r="F516" s="10">
        <v>45392</v>
      </c>
      <c r="G516">
        <v>0</v>
      </c>
    </row>
    <row r="517" spans="1:7" x14ac:dyDescent="0.2">
      <c r="A517" s="7">
        <v>45393</v>
      </c>
      <c r="B517">
        <v>0</v>
      </c>
      <c r="D517" s="9"/>
      <c r="E517" s="9"/>
      <c r="F517" s="10">
        <v>45393</v>
      </c>
      <c r="G517">
        <v>0</v>
      </c>
    </row>
    <row r="518" spans="1:7" x14ac:dyDescent="0.2">
      <c r="A518" s="7">
        <v>45394</v>
      </c>
      <c r="B518">
        <v>0</v>
      </c>
      <c r="D518" s="9"/>
      <c r="E518" s="9"/>
      <c r="F518" s="10">
        <v>45394</v>
      </c>
      <c r="G518">
        <v>0</v>
      </c>
    </row>
    <row r="519" spans="1:7" x14ac:dyDescent="0.2">
      <c r="A519" s="7">
        <v>45395</v>
      </c>
      <c r="B519">
        <v>0</v>
      </c>
      <c r="D519" s="9"/>
      <c r="E519" s="9"/>
      <c r="F519" s="10">
        <v>45395</v>
      </c>
      <c r="G519">
        <v>0</v>
      </c>
    </row>
    <row r="520" spans="1:7" x14ac:dyDescent="0.2">
      <c r="A520" s="7">
        <v>45396</v>
      </c>
      <c r="B520">
        <v>0</v>
      </c>
      <c r="D520" s="9"/>
      <c r="E520" s="9"/>
      <c r="F520" s="10">
        <v>45396</v>
      </c>
      <c r="G520">
        <v>0</v>
      </c>
    </row>
    <row r="521" spans="1:7" x14ac:dyDescent="0.2">
      <c r="A521" s="7">
        <v>45397</v>
      </c>
      <c r="B521">
        <v>0</v>
      </c>
      <c r="D521" s="9"/>
      <c r="E521" s="9"/>
      <c r="F521" s="10">
        <v>45397</v>
      </c>
      <c r="G521">
        <v>0</v>
      </c>
    </row>
    <row r="522" spans="1:7" x14ac:dyDescent="0.2">
      <c r="A522" s="7">
        <v>45398</v>
      </c>
      <c r="B522">
        <v>0</v>
      </c>
      <c r="D522" s="9"/>
      <c r="E522" s="9"/>
      <c r="F522" s="10">
        <v>45398</v>
      </c>
      <c r="G522">
        <v>0</v>
      </c>
    </row>
    <row r="523" spans="1:7" x14ac:dyDescent="0.2">
      <c r="A523" s="7">
        <v>45399</v>
      </c>
      <c r="B523">
        <v>1</v>
      </c>
      <c r="D523" s="9"/>
      <c r="E523" s="9"/>
      <c r="F523" s="10">
        <v>45399</v>
      </c>
      <c r="G523">
        <v>300</v>
      </c>
    </row>
    <row r="524" spans="1:7" x14ac:dyDescent="0.2">
      <c r="A524" s="7">
        <v>45400</v>
      </c>
      <c r="B524">
        <v>0</v>
      </c>
      <c r="D524" s="9"/>
      <c r="E524" s="9"/>
      <c r="F524" s="10">
        <v>45400</v>
      </c>
      <c r="G524">
        <v>0</v>
      </c>
    </row>
    <row r="525" spans="1:7" x14ac:dyDescent="0.2">
      <c r="A525" s="7">
        <v>45401</v>
      </c>
      <c r="B525">
        <v>0</v>
      </c>
      <c r="D525" s="9"/>
      <c r="E525" s="9"/>
      <c r="F525" s="10">
        <v>45401</v>
      </c>
      <c r="G525">
        <v>0</v>
      </c>
    </row>
    <row r="526" spans="1:7" x14ac:dyDescent="0.2">
      <c r="A526" s="7">
        <v>45402</v>
      </c>
      <c r="B526">
        <v>0</v>
      </c>
      <c r="D526" s="9"/>
      <c r="E526" s="9"/>
      <c r="F526" s="10">
        <v>45402</v>
      </c>
      <c r="G526">
        <v>0</v>
      </c>
    </row>
    <row r="527" spans="1:7" x14ac:dyDescent="0.2">
      <c r="A527" s="7">
        <v>45403</v>
      </c>
      <c r="B527">
        <v>0</v>
      </c>
      <c r="D527" s="9"/>
      <c r="E527" s="9"/>
      <c r="F527" s="10">
        <v>45403</v>
      </c>
      <c r="G527">
        <v>0</v>
      </c>
    </row>
    <row r="528" spans="1:7" x14ac:dyDescent="0.2">
      <c r="A528" s="7">
        <v>45404</v>
      </c>
      <c r="B528">
        <v>0</v>
      </c>
      <c r="D528" s="9"/>
      <c r="E528" s="9"/>
      <c r="F528" s="10">
        <v>45404</v>
      </c>
      <c r="G528">
        <v>0</v>
      </c>
    </row>
    <row r="529" spans="1:7" x14ac:dyDescent="0.2">
      <c r="A529" s="7">
        <v>45405</v>
      </c>
      <c r="B529">
        <v>0</v>
      </c>
      <c r="D529" s="9"/>
      <c r="E529" s="9"/>
      <c r="F529" s="10">
        <v>45405</v>
      </c>
      <c r="G529">
        <v>0</v>
      </c>
    </row>
    <row r="530" spans="1:7" x14ac:dyDescent="0.2">
      <c r="A530" s="7">
        <v>45406</v>
      </c>
      <c r="B530">
        <v>0</v>
      </c>
      <c r="D530" s="9"/>
      <c r="E530" s="9"/>
      <c r="F530" s="10">
        <v>45406</v>
      </c>
      <c r="G530">
        <v>0</v>
      </c>
    </row>
    <row r="531" spans="1:7" x14ac:dyDescent="0.2">
      <c r="A531" s="7">
        <v>45407</v>
      </c>
      <c r="B531">
        <v>0</v>
      </c>
      <c r="D531" s="9"/>
      <c r="E531" s="9"/>
      <c r="F531" s="10">
        <v>45407</v>
      </c>
      <c r="G531">
        <v>0</v>
      </c>
    </row>
    <row r="532" spans="1:7" x14ac:dyDescent="0.2">
      <c r="A532" s="7">
        <v>45408</v>
      </c>
      <c r="B532">
        <v>0</v>
      </c>
      <c r="D532" s="9"/>
      <c r="E532" s="9"/>
      <c r="F532" s="10">
        <v>45408</v>
      </c>
      <c r="G532">
        <v>0</v>
      </c>
    </row>
    <row r="533" spans="1:7" x14ac:dyDescent="0.2">
      <c r="A533" s="7">
        <v>45409</v>
      </c>
      <c r="B533">
        <v>0</v>
      </c>
      <c r="D533" s="9"/>
      <c r="E533" s="9"/>
      <c r="F533" s="10">
        <v>45409</v>
      </c>
      <c r="G533">
        <v>0</v>
      </c>
    </row>
    <row r="534" spans="1:7" x14ac:dyDescent="0.2">
      <c r="A534" s="7">
        <v>45410</v>
      </c>
      <c r="B534">
        <v>1</v>
      </c>
      <c r="D534" s="9"/>
      <c r="E534" s="9"/>
      <c r="F534" s="10">
        <v>45410</v>
      </c>
      <c r="G534">
        <v>450</v>
      </c>
    </row>
    <row r="535" spans="1:7" x14ac:dyDescent="0.2">
      <c r="A535" s="7">
        <v>45411</v>
      </c>
      <c r="B535">
        <v>0</v>
      </c>
      <c r="D535" s="9"/>
      <c r="E535" s="9"/>
      <c r="F535" s="10">
        <v>45411</v>
      </c>
      <c r="G535">
        <v>0</v>
      </c>
    </row>
    <row r="536" spans="1:7" x14ac:dyDescent="0.2">
      <c r="A536" s="7">
        <v>45412</v>
      </c>
      <c r="B536">
        <v>0</v>
      </c>
      <c r="D536" s="9"/>
      <c r="E536" s="9"/>
      <c r="F536" s="10">
        <v>45412</v>
      </c>
      <c r="G536">
        <v>0</v>
      </c>
    </row>
    <row r="537" spans="1:7" x14ac:dyDescent="0.2">
      <c r="A537" s="7">
        <v>45413</v>
      </c>
      <c r="B537">
        <v>0</v>
      </c>
      <c r="D537" s="9"/>
      <c r="E537" s="9"/>
      <c r="F537" s="10">
        <v>45413</v>
      </c>
      <c r="G537">
        <v>0</v>
      </c>
    </row>
    <row r="538" spans="1:7" x14ac:dyDescent="0.2">
      <c r="A538" s="7">
        <v>45414</v>
      </c>
      <c r="B538">
        <v>0</v>
      </c>
      <c r="D538" s="9"/>
      <c r="E538" s="9"/>
      <c r="F538" s="10">
        <v>45414</v>
      </c>
      <c r="G538">
        <v>0</v>
      </c>
    </row>
    <row r="539" spans="1:7" x14ac:dyDescent="0.2">
      <c r="A539" s="7">
        <v>45415</v>
      </c>
      <c r="B539">
        <v>0</v>
      </c>
      <c r="D539" s="9"/>
      <c r="E539" s="9"/>
      <c r="F539" s="10">
        <v>45415</v>
      </c>
      <c r="G539">
        <v>0</v>
      </c>
    </row>
    <row r="540" spans="1:7" x14ac:dyDescent="0.2">
      <c r="A540" s="7">
        <v>45416</v>
      </c>
      <c r="B540">
        <v>1</v>
      </c>
      <c r="D540" s="9"/>
      <c r="E540" s="9"/>
      <c r="F540" s="10">
        <v>45416</v>
      </c>
      <c r="G540">
        <v>700</v>
      </c>
    </row>
    <row r="541" spans="1:7" x14ac:dyDescent="0.2">
      <c r="A541" s="7">
        <v>45417</v>
      </c>
      <c r="B541">
        <v>0</v>
      </c>
      <c r="D541" s="9"/>
      <c r="E541" s="9"/>
      <c r="F541" s="10">
        <v>45417</v>
      </c>
      <c r="G541">
        <v>0</v>
      </c>
    </row>
    <row r="542" spans="1:7" x14ac:dyDescent="0.2">
      <c r="A542" s="7">
        <v>45418</v>
      </c>
      <c r="B542">
        <v>0</v>
      </c>
      <c r="D542" s="9"/>
      <c r="E542" s="9"/>
      <c r="F542" s="10">
        <v>45418</v>
      </c>
      <c r="G542">
        <v>0</v>
      </c>
    </row>
    <row r="543" spans="1:7" x14ac:dyDescent="0.2">
      <c r="A543" s="7">
        <v>45419</v>
      </c>
      <c r="B543">
        <v>0</v>
      </c>
      <c r="D543" s="9"/>
      <c r="E543" s="9"/>
      <c r="F543" s="10">
        <v>45419</v>
      </c>
      <c r="G543">
        <v>0</v>
      </c>
    </row>
    <row r="544" spans="1:7" x14ac:dyDescent="0.2">
      <c r="A544" s="7">
        <v>45420</v>
      </c>
      <c r="B544">
        <v>0</v>
      </c>
      <c r="D544" s="9"/>
      <c r="E544" s="9"/>
      <c r="F544" s="10">
        <v>45420</v>
      </c>
      <c r="G544">
        <v>0</v>
      </c>
    </row>
    <row r="545" spans="1:7" x14ac:dyDescent="0.2">
      <c r="A545" s="7">
        <v>45421</v>
      </c>
      <c r="B545">
        <v>0</v>
      </c>
      <c r="D545" s="9"/>
      <c r="E545" s="9"/>
      <c r="F545" s="10">
        <v>45421</v>
      </c>
      <c r="G545">
        <v>0</v>
      </c>
    </row>
    <row r="546" spans="1:7" x14ac:dyDescent="0.2">
      <c r="A546" s="7">
        <v>45422</v>
      </c>
      <c r="B546">
        <v>0</v>
      </c>
      <c r="D546" s="9"/>
      <c r="E546" s="9"/>
      <c r="F546" s="10">
        <v>45422</v>
      </c>
      <c r="G546">
        <v>0</v>
      </c>
    </row>
    <row r="547" spans="1:7" x14ac:dyDescent="0.2">
      <c r="A547" s="7">
        <v>45423</v>
      </c>
      <c r="B547">
        <v>0</v>
      </c>
      <c r="D547" s="9"/>
      <c r="E547" s="9"/>
      <c r="F547" s="10">
        <v>45423</v>
      </c>
      <c r="G547">
        <v>0</v>
      </c>
    </row>
    <row r="548" spans="1:7" x14ac:dyDescent="0.2">
      <c r="A548" s="7">
        <v>45424</v>
      </c>
      <c r="B548">
        <v>0</v>
      </c>
      <c r="D548" s="9"/>
      <c r="E548" s="9"/>
      <c r="F548" s="10">
        <v>45424</v>
      </c>
      <c r="G548">
        <v>0</v>
      </c>
    </row>
    <row r="549" spans="1:7" x14ac:dyDescent="0.2">
      <c r="A549" s="7">
        <v>45425</v>
      </c>
      <c r="B549">
        <v>1</v>
      </c>
      <c r="D549" s="9"/>
      <c r="E549" s="9"/>
      <c r="F549" s="10">
        <v>45425</v>
      </c>
      <c r="G549">
        <v>300</v>
      </c>
    </row>
    <row r="550" spans="1:7" x14ac:dyDescent="0.2">
      <c r="A550" s="7">
        <v>45426</v>
      </c>
      <c r="B550">
        <v>0</v>
      </c>
      <c r="D550" s="9"/>
      <c r="E550" s="9"/>
      <c r="F550" s="10">
        <v>45426</v>
      </c>
      <c r="G550">
        <v>0</v>
      </c>
    </row>
    <row r="551" spans="1:7" x14ac:dyDescent="0.2">
      <c r="A551" s="7">
        <v>45427</v>
      </c>
      <c r="B551">
        <v>0</v>
      </c>
      <c r="D551" s="9"/>
      <c r="E551" s="9"/>
      <c r="F551" s="10">
        <v>45427</v>
      </c>
      <c r="G551">
        <v>0</v>
      </c>
    </row>
    <row r="552" spans="1:7" x14ac:dyDescent="0.2">
      <c r="A552" s="7">
        <v>45428</v>
      </c>
      <c r="B552">
        <v>0</v>
      </c>
      <c r="D552" s="9"/>
      <c r="E552" s="9"/>
      <c r="F552" s="10">
        <v>45428</v>
      </c>
      <c r="G552">
        <v>0</v>
      </c>
    </row>
    <row r="553" spans="1:7" x14ac:dyDescent="0.2">
      <c r="A553" s="7">
        <v>45429</v>
      </c>
      <c r="B553">
        <v>0</v>
      </c>
      <c r="D553" s="9"/>
      <c r="E553" s="9"/>
      <c r="F553" s="10">
        <v>45429</v>
      </c>
      <c r="G553">
        <v>0</v>
      </c>
    </row>
    <row r="554" spans="1:7" x14ac:dyDescent="0.2">
      <c r="A554" s="7">
        <v>45430</v>
      </c>
      <c r="B554">
        <v>0</v>
      </c>
      <c r="D554" s="9"/>
      <c r="E554" s="9"/>
      <c r="F554" s="10">
        <v>45430</v>
      </c>
      <c r="G554">
        <v>0</v>
      </c>
    </row>
    <row r="555" spans="1:7" x14ac:dyDescent="0.2">
      <c r="A555" s="7">
        <v>45431</v>
      </c>
      <c r="B555">
        <v>0</v>
      </c>
      <c r="D555" s="9"/>
      <c r="E555" s="9"/>
      <c r="F555" s="10">
        <v>45431</v>
      </c>
      <c r="G555">
        <v>0</v>
      </c>
    </row>
    <row r="556" spans="1:7" x14ac:dyDescent="0.2">
      <c r="A556" s="7">
        <v>45432</v>
      </c>
      <c r="B556">
        <v>0</v>
      </c>
      <c r="D556" s="9"/>
      <c r="E556" s="9"/>
      <c r="F556" s="10">
        <v>45432</v>
      </c>
      <c r="G556">
        <v>0</v>
      </c>
    </row>
    <row r="557" spans="1:7" x14ac:dyDescent="0.2">
      <c r="A557" s="7">
        <v>45433</v>
      </c>
      <c r="B557">
        <v>0</v>
      </c>
      <c r="D557" s="9"/>
      <c r="E557" s="9"/>
      <c r="F557" s="10">
        <v>45433</v>
      </c>
      <c r="G557">
        <v>0</v>
      </c>
    </row>
    <row r="558" spans="1:7" x14ac:dyDescent="0.2">
      <c r="A558" s="7">
        <v>45434</v>
      </c>
      <c r="B558">
        <v>0</v>
      </c>
      <c r="D558" s="9"/>
      <c r="E558" s="9"/>
      <c r="F558" s="10">
        <v>45434</v>
      </c>
      <c r="G558">
        <v>0</v>
      </c>
    </row>
    <row r="559" spans="1:7" x14ac:dyDescent="0.2">
      <c r="A559" s="7">
        <v>45435</v>
      </c>
      <c r="B559">
        <v>0</v>
      </c>
      <c r="D559" s="9"/>
      <c r="E559" s="9"/>
      <c r="F559" s="10">
        <v>45435</v>
      </c>
      <c r="G559">
        <v>0</v>
      </c>
    </row>
    <row r="560" spans="1:7" x14ac:dyDescent="0.2">
      <c r="A560" s="7">
        <v>45436</v>
      </c>
      <c r="B560">
        <v>0</v>
      </c>
      <c r="D560" s="9"/>
      <c r="E560" s="9"/>
      <c r="F560" s="10">
        <v>45436</v>
      </c>
      <c r="G560">
        <v>0</v>
      </c>
    </row>
    <row r="561" spans="1:7" x14ac:dyDescent="0.2">
      <c r="A561" s="7">
        <v>45437</v>
      </c>
      <c r="B561">
        <v>1</v>
      </c>
      <c r="D561" s="9"/>
      <c r="E561" s="9"/>
      <c r="F561" s="10">
        <v>45437</v>
      </c>
      <c r="G561">
        <v>450</v>
      </c>
    </row>
    <row r="562" spans="1:7" x14ac:dyDescent="0.2">
      <c r="A562" s="7">
        <v>45438</v>
      </c>
      <c r="B562">
        <v>0</v>
      </c>
      <c r="D562" s="9"/>
      <c r="E562" s="9"/>
      <c r="F562" s="10">
        <v>45438</v>
      </c>
      <c r="G562">
        <v>0</v>
      </c>
    </row>
    <row r="563" spans="1:7" x14ac:dyDescent="0.2">
      <c r="A563" s="7">
        <v>45439</v>
      </c>
      <c r="B563">
        <v>0</v>
      </c>
      <c r="D563" s="9"/>
      <c r="E563" s="9"/>
      <c r="F563" s="10">
        <v>45439</v>
      </c>
      <c r="G563">
        <v>0</v>
      </c>
    </row>
    <row r="564" spans="1:7" x14ac:dyDescent="0.2">
      <c r="A564" s="7">
        <v>45440</v>
      </c>
      <c r="B564">
        <v>0</v>
      </c>
      <c r="D564" s="9"/>
      <c r="E564" s="9"/>
      <c r="F564" s="10">
        <v>45440</v>
      </c>
      <c r="G564">
        <v>0</v>
      </c>
    </row>
    <row r="565" spans="1:7" x14ac:dyDescent="0.2">
      <c r="A565" s="7">
        <v>45441</v>
      </c>
      <c r="B565">
        <v>0</v>
      </c>
      <c r="D565" s="9"/>
      <c r="E565" s="9"/>
      <c r="F565" s="10">
        <v>45441</v>
      </c>
      <c r="G565">
        <v>0</v>
      </c>
    </row>
    <row r="566" spans="1:7" x14ac:dyDescent="0.2">
      <c r="A566" s="7">
        <v>45442</v>
      </c>
      <c r="B566">
        <v>0</v>
      </c>
      <c r="D566" s="9"/>
      <c r="E566" s="9"/>
      <c r="F566" s="10">
        <v>45442</v>
      </c>
      <c r="G566">
        <v>0</v>
      </c>
    </row>
    <row r="567" spans="1:7" x14ac:dyDescent="0.2">
      <c r="A567" s="7">
        <v>45443</v>
      </c>
      <c r="B567">
        <v>0</v>
      </c>
      <c r="D567" s="9"/>
      <c r="E567" s="9"/>
      <c r="F567" s="10">
        <v>45443</v>
      </c>
      <c r="G567">
        <v>0</v>
      </c>
    </row>
    <row r="568" spans="1:7" x14ac:dyDescent="0.2">
      <c r="A568" s="7">
        <v>45444</v>
      </c>
      <c r="B568">
        <v>0</v>
      </c>
      <c r="D568" s="9"/>
      <c r="E568" s="9"/>
      <c r="F568" s="10">
        <v>45444</v>
      </c>
      <c r="G568">
        <v>0</v>
      </c>
    </row>
    <row r="569" spans="1:7" x14ac:dyDescent="0.2">
      <c r="A569" s="7">
        <v>45445</v>
      </c>
      <c r="B569">
        <v>0</v>
      </c>
      <c r="D569" s="9"/>
      <c r="E569" s="9"/>
      <c r="F569" s="10">
        <v>45445</v>
      </c>
      <c r="G569">
        <v>0</v>
      </c>
    </row>
    <row r="570" spans="1:7" x14ac:dyDescent="0.2">
      <c r="A570" s="7">
        <v>45446</v>
      </c>
      <c r="B570">
        <v>0</v>
      </c>
      <c r="D570" s="9"/>
      <c r="E570" s="9"/>
      <c r="F570" s="10">
        <v>45446</v>
      </c>
      <c r="G570">
        <v>0</v>
      </c>
    </row>
    <row r="571" spans="1:7" x14ac:dyDescent="0.2">
      <c r="A571" s="7">
        <v>45447</v>
      </c>
      <c r="B571">
        <v>0</v>
      </c>
      <c r="D571" s="9"/>
      <c r="E571" s="9"/>
      <c r="F571" s="10">
        <v>45447</v>
      </c>
      <c r="G571">
        <v>0</v>
      </c>
    </row>
    <row r="572" spans="1:7" x14ac:dyDescent="0.2">
      <c r="A572" s="7">
        <v>45448</v>
      </c>
      <c r="B572">
        <v>0</v>
      </c>
      <c r="D572" s="9"/>
      <c r="E572" s="9"/>
      <c r="F572" s="10">
        <v>45448</v>
      </c>
      <c r="G572">
        <v>0</v>
      </c>
    </row>
    <row r="573" spans="1:7" x14ac:dyDescent="0.2">
      <c r="A573" s="7">
        <v>45449</v>
      </c>
      <c r="B573">
        <v>0</v>
      </c>
      <c r="D573" s="9"/>
      <c r="E573" s="9"/>
      <c r="F573" s="10">
        <v>45449</v>
      </c>
      <c r="G573">
        <v>0</v>
      </c>
    </row>
    <row r="574" spans="1:7" x14ac:dyDescent="0.2">
      <c r="A574" s="7">
        <v>45450</v>
      </c>
      <c r="B574">
        <v>0</v>
      </c>
      <c r="D574" s="9"/>
      <c r="E574" s="9"/>
      <c r="F574" s="10">
        <v>45450</v>
      </c>
      <c r="G574">
        <v>0</v>
      </c>
    </row>
    <row r="575" spans="1:7" x14ac:dyDescent="0.2">
      <c r="A575" s="7">
        <v>45451</v>
      </c>
      <c r="B575">
        <v>0</v>
      </c>
      <c r="D575" s="9"/>
      <c r="E575" s="9"/>
      <c r="F575" s="10">
        <v>45451</v>
      </c>
      <c r="G575">
        <v>0</v>
      </c>
    </row>
    <row r="576" spans="1:7" x14ac:dyDescent="0.2">
      <c r="A576" s="7">
        <v>45452</v>
      </c>
      <c r="B576">
        <v>0</v>
      </c>
      <c r="D576" s="9"/>
      <c r="E576" s="9"/>
      <c r="F576" s="10">
        <v>45452</v>
      </c>
      <c r="G576">
        <v>0</v>
      </c>
    </row>
    <row r="577" spans="1:7" x14ac:dyDescent="0.2">
      <c r="A577" s="7">
        <v>45453</v>
      </c>
      <c r="B577">
        <v>0</v>
      </c>
      <c r="D577" s="9"/>
      <c r="E577" s="9"/>
      <c r="F577" s="10">
        <v>45453</v>
      </c>
      <c r="G577">
        <v>0</v>
      </c>
    </row>
    <row r="578" spans="1:7" x14ac:dyDescent="0.2">
      <c r="A578" s="7">
        <v>45454</v>
      </c>
      <c r="B578">
        <v>0</v>
      </c>
      <c r="D578" s="9"/>
      <c r="E578" s="9"/>
      <c r="F578" s="10">
        <v>45454</v>
      </c>
      <c r="G578">
        <v>0</v>
      </c>
    </row>
    <row r="579" spans="1:7" x14ac:dyDescent="0.2">
      <c r="A579" s="7">
        <v>45455</v>
      </c>
      <c r="B579">
        <v>0</v>
      </c>
      <c r="D579" s="9"/>
      <c r="E579" s="9"/>
      <c r="F579" s="10">
        <v>45455</v>
      </c>
      <c r="G579">
        <v>0</v>
      </c>
    </row>
    <row r="580" spans="1:7" x14ac:dyDescent="0.2">
      <c r="A580" s="7">
        <v>45456</v>
      </c>
      <c r="B580">
        <v>1</v>
      </c>
      <c r="D580" s="9"/>
      <c r="E580" s="9"/>
      <c r="F580" s="10">
        <v>45456</v>
      </c>
      <c r="G580">
        <v>700</v>
      </c>
    </row>
    <row r="581" spans="1:7" x14ac:dyDescent="0.2">
      <c r="A581" s="7">
        <v>45457</v>
      </c>
      <c r="B581">
        <v>0</v>
      </c>
      <c r="D581" s="9"/>
      <c r="E581" s="9"/>
      <c r="F581" s="10">
        <v>45457</v>
      </c>
      <c r="G581">
        <v>0</v>
      </c>
    </row>
    <row r="582" spans="1:7" x14ac:dyDescent="0.2">
      <c r="A582" s="7">
        <v>45458</v>
      </c>
      <c r="B582">
        <v>0</v>
      </c>
      <c r="D582" s="9"/>
      <c r="E582" s="9"/>
      <c r="F582" s="10">
        <v>45458</v>
      </c>
      <c r="G582">
        <v>0</v>
      </c>
    </row>
    <row r="583" spans="1:7" x14ac:dyDescent="0.2">
      <c r="A583" s="7">
        <v>45459</v>
      </c>
      <c r="B583">
        <v>1</v>
      </c>
      <c r="D583" s="9"/>
      <c r="E583" s="9"/>
      <c r="F583" s="10">
        <v>45459</v>
      </c>
      <c r="G583">
        <v>300</v>
      </c>
    </row>
    <row r="584" spans="1:7" x14ac:dyDescent="0.2">
      <c r="A584" s="7">
        <v>45460</v>
      </c>
      <c r="B584">
        <v>0</v>
      </c>
      <c r="D584" s="9"/>
      <c r="E584" s="9"/>
      <c r="F584" s="10">
        <v>45460</v>
      </c>
      <c r="G584">
        <v>0</v>
      </c>
    </row>
    <row r="585" spans="1:7" x14ac:dyDescent="0.2">
      <c r="A585" s="7">
        <v>45461</v>
      </c>
      <c r="B585">
        <v>1</v>
      </c>
      <c r="D585" s="9"/>
      <c r="E585" s="9"/>
      <c r="F585" s="10">
        <v>45461</v>
      </c>
      <c r="G585">
        <v>450</v>
      </c>
    </row>
    <row r="586" spans="1:7" x14ac:dyDescent="0.2">
      <c r="A586" s="7">
        <v>45462</v>
      </c>
      <c r="B586">
        <v>0</v>
      </c>
      <c r="D586" s="9"/>
      <c r="E586" s="9"/>
      <c r="F586" s="10">
        <v>45462</v>
      </c>
      <c r="G586">
        <v>0</v>
      </c>
    </row>
    <row r="587" spans="1:7" x14ac:dyDescent="0.2">
      <c r="A587" s="7">
        <v>45463</v>
      </c>
      <c r="B587">
        <v>0</v>
      </c>
      <c r="D587" s="9"/>
      <c r="E587" s="9"/>
      <c r="F587" s="10">
        <v>45463</v>
      </c>
      <c r="G587">
        <v>0</v>
      </c>
    </row>
    <row r="588" spans="1:7" x14ac:dyDescent="0.2">
      <c r="A588" s="7">
        <v>45464</v>
      </c>
      <c r="B588">
        <v>0</v>
      </c>
      <c r="D588" s="9"/>
      <c r="E588" s="9"/>
      <c r="F588" s="10">
        <v>45464</v>
      </c>
      <c r="G588">
        <v>0</v>
      </c>
    </row>
    <row r="589" spans="1:7" x14ac:dyDescent="0.2">
      <c r="A589" s="7">
        <v>45465</v>
      </c>
      <c r="B589">
        <v>0</v>
      </c>
      <c r="D589" s="9"/>
      <c r="E589" s="9"/>
      <c r="F589" s="10">
        <v>45465</v>
      </c>
      <c r="G589">
        <v>0</v>
      </c>
    </row>
    <row r="590" spans="1:7" x14ac:dyDescent="0.2">
      <c r="A590" s="7">
        <v>45466</v>
      </c>
      <c r="B590">
        <v>1</v>
      </c>
      <c r="D590" s="9"/>
      <c r="E590" s="9"/>
      <c r="F590" s="10">
        <v>45466</v>
      </c>
      <c r="G590">
        <v>700</v>
      </c>
    </row>
    <row r="591" spans="1:7" x14ac:dyDescent="0.2">
      <c r="A591" s="7">
        <v>45467</v>
      </c>
      <c r="B591">
        <v>0</v>
      </c>
      <c r="D591" s="9"/>
      <c r="E591" s="9"/>
      <c r="F591" s="10">
        <v>45467</v>
      </c>
      <c r="G591">
        <v>0</v>
      </c>
    </row>
    <row r="592" spans="1:7" x14ac:dyDescent="0.2">
      <c r="A592" s="7">
        <v>45468</v>
      </c>
      <c r="B592">
        <v>0</v>
      </c>
      <c r="D592" s="9"/>
      <c r="E592" s="9"/>
      <c r="F592" s="10">
        <v>45468</v>
      </c>
      <c r="G592">
        <v>0</v>
      </c>
    </row>
    <row r="593" spans="1:7" x14ac:dyDescent="0.2">
      <c r="A593" s="7">
        <v>45469</v>
      </c>
      <c r="B593">
        <v>0</v>
      </c>
      <c r="D593" s="9"/>
      <c r="E593" s="9"/>
      <c r="F593" s="10">
        <v>45469</v>
      </c>
      <c r="G593">
        <v>0</v>
      </c>
    </row>
    <row r="594" spans="1:7" x14ac:dyDescent="0.2">
      <c r="A594" s="7">
        <v>45470</v>
      </c>
      <c r="B594">
        <v>1</v>
      </c>
      <c r="D594" s="9"/>
      <c r="E594" s="9"/>
      <c r="F594" s="10">
        <v>45470</v>
      </c>
      <c r="G594">
        <v>300</v>
      </c>
    </row>
    <row r="595" spans="1:7" x14ac:dyDescent="0.2">
      <c r="A595" s="7">
        <v>45471</v>
      </c>
      <c r="B595">
        <v>1</v>
      </c>
      <c r="D595" s="9"/>
      <c r="E595" s="9"/>
      <c r="F595" s="10">
        <v>45471</v>
      </c>
      <c r="G595">
        <v>450</v>
      </c>
    </row>
    <row r="596" spans="1:7" x14ac:dyDescent="0.2">
      <c r="A596" s="7">
        <v>45472</v>
      </c>
      <c r="B596">
        <v>0</v>
      </c>
      <c r="D596" s="9"/>
      <c r="E596" s="9"/>
      <c r="F596" s="10">
        <v>45472</v>
      </c>
      <c r="G596">
        <v>0</v>
      </c>
    </row>
    <row r="597" spans="1:7" x14ac:dyDescent="0.2">
      <c r="A597" s="7">
        <v>45473</v>
      </c>
      <c r="B597">
        <v>0</v>
      </c>
      <c r="D597" s="9"/>
      <c r="E597" s="9"/>
      <c r="F597" s="10">
        <v>45473</v>
      </c>
      <c r="G597">
        <v>0</v>
      </c>
    </row>
    <row r="598" spans="1:7" x14ac:dyDescent="0.2">
      <c r="A598" s="7">
        <v>45474</v>
      </c>
      <c r="B598">
        <v>1</v>
      </c>
      <c r="D598" s="9"/>
      <c r="E598" s="9"/>
      <c r="F598" s="10">
        <v>45474</v>
      </c>
      <c r="G598">
        <v>700</v>
      </c>
    </row>
    <row r="599" spans="1:7" x14ac:dyDescent="0.2">
      <c r="A599" s="7">
        <v>45475</v>
      </c>
      <c r="B599">
        <v>0</v>
      </c>
      <c r="D599" s="9"/>
      <c r="E599" s="9"/>
      <c r="F599" s="10">
        <v>45475</v>
      </c>
      <c r="G599">
        <v>0</v>
      </c>
    </row>
    <row r="600" spans="1:7" x14ac:dyDescent="0.2">
      <c r="A600" s="7">
        <v>45476</v>
      </c>
      <c r="B600">
        <v>1</v>
      </c>
      <c r="D600" s="9"/>
      <c r="E600" s="9"/>
      <c r="F600" s="10">
        <v>45476</v>
      </c>
      <c r="G600">
        <v>300</v>
      </c>
    </row>
    <row r="601" spans="1:7" x14ac:dyDescent="0.2">
      <c r="A601" s="7">
        <v>45477</v>
      </c>
      <c r="B601">
        <v>0</v>
      </c>
      <c r="D601" s="9"/>
      <c r="E601" s="9"/>
      <c r="F601" s="10">
        <v>45477</v>
      </c>
      <c r="G601">
        <v>0</v>
      </c>
    </row>
    <row r="602" spans="1:7" x14ac:dyDescent="0.2">
      <c r="A602" s="7">
        <v>45478</v>
      </c>
      <c r="B602">
        <v>0</v>
      </c>
      <c r="D602" s="9"/>
      <c r="E602" s="9"/>
      <c r="F602" s="10">
        <v>45478</v>
      </c>
      <c r="G602">
        <v>0</v>
      </c>
    </row>
    <row r="603" spans="1:7" x14ac:dyDescent="0.2">
      <c r="A603" s="7">
        <v>45479</v>
      </c>
      <c r="B603">
        <v>0</v>
      </c>
      <c r="D603" s="9"/>
      <c r="E603" s="9"/>
      <c r="F603" s="10">
        <v>45479</v>
      </c>
      <c r="G603">
        <v>0</v>
      </c>
    </row>
    <row r="604" spans="1:7" x14ac:dyDescent="0.2">
      <c r="A604" s="7">
        <v>45480</v>
      </c>
      <c r="B604">
        <v>0</v>
      </c>
      <c r="D604" s="9"/>
      <c r="E604" s="9"/>
      <c r="F604" s="10">
        <v>45480</v>
      </c>
      <c r="G604">
        <v>0</v>
      </c>
    </row>
    <row r="605" spans="1:7" x14ac:dyDescent="0.2">
      <c r="A605" s="7">
        <v>45481</v>
      </c>
      <c r="B605">
        <v>0</v>
      </c>
      <c r="D605" s="9"/>
      <c r="E605" s="9"/>
      <c r="F605" s="10">
        <v>45481</v>
      </c>
      <c r="G605">
        <v>0</v>
      </c>
    </row>
    <row r="606" spans="1:7" x14ac:dyDescent="0.2">
      <c r="A606" s="7">
        <v>45482</v>
      </c>
      <c r="B606">
        <v>0</v>
      </c>
      <c r="D606" s="9"/>
      <c r="E606" s="9"/>
      <c r="F606" s="10">
        <v>45482</v>
      </c>
      <c r="G606">
        <v>0</v>
      </c>
    </row>
    <row r="607" spans="1:7" x14ac:dyDescent="0.2">
      <c r="A607" s="7">
        <v>45483</v>
      </c>
      <c r="B607">
        <v>0</v>
      </c>
      <c r="D607" s="9"/>
      <c r="E607" s="9"/>
      <c r="F607" s="10">
        <v>45483</v>
      </c>
      <c r="G607">
        <v>0</v>
      </c>
    </row>
    <row r="608" spans="1:7" x14ac:dyDescent="0.2">
      <c r="A608" s="7">
        <v>45484</v>
      </c>
      <c r="B608">
        <v>1</v>
      </c>
      <c r="D608" s="9"/>
      <c r="E608" s="9"/>
      <c r="F608" s="10">
        <v>45484</v>
      </c>
      <c r="G608">
        <v>450</v>
      </c>
    </row>
    <row r="609" spans="1:7" x14ac:dyDescent="0.2">
      <c r="A609" s="7">
        <v>45485</v>
      </c>
      <c r="B609">
        <v>0</v>
      </c>
      <c r="D609" s="9"/>
      <c r="E609" s="9"/>
      <c r="F609" s="10">
        <v>45485</v>
      </c>
      <c r="G609">
        <v>0</v>
      </c>
    </row>
    <row r="610" spans="1:7" x14ac:dyDescent="0.2">
      <c r="A610" s="7">
        <v>45486</v>
      </c>
      <c r="B610">
        <v>0</v>
      </c>
      <c r="D610" s="9"/>
      <c r="E610" s="9"/>
      <c r="F610" s="10">
        <v>45486</v>
      </c>
      <c r="G610">
        <v>0</v>
      </c>
    </row>
    <row r="611" spans="1:7" x14ac:dyDescent="0.2">
      <c r="A611" s="7">
        <v>45487</v>
      </c>
      <c r="B611">
        <v>0</v>
      </c>
      <c r="D611" s="9"/>
      <c r="E611" s="9"/>
      <c r="F611" s="10">
        <v>45487</v>
      </c>
      <c r="G611">
        <v>0</v>
      </c>
    </row>
    <row r="612" spans="1:7" x14ac:dyDescent="0.2">
      <c r="A612" s="7">
        <v>45488</v>
      </c>
      <c r="B612">
        <v>0</v>
      </c>
      <c r="D612" s="9"/>
      <c r="E612" s="9"/>
      <c r="F612" s="10">
        <v>45488</v>
      </c>
      <c r="G612">
        <v>0</v>
      </c>
    </row>
    <row r="613" spans="1:7" x14ac:dyDescent="0.2">
      <c r="A613" s="7">
        <v>45489</v>
      </c>
      <c r="B613">
        <v>0</v>
      </c>
      <c r="D613" s="9"/>
      <c r="E613" s="9"/>
      <c r="F613" s="10">
        <v>45489</v>
      </c>
      <c r="G613">
        <v>0</v>
      </c>
    </row>
    <row r="614" spans="1:7" x14ac:dyDescent="0.2">
      <c r="A614" s="7">
        <v>45490</v>
      </c>
      <c r="B614">
        <v>0</v>
      </c>
      <c r="D614" s="9"/>
      <c r="E614" s="9"/>
      <c r="F614" s="10">
        <v>45490</v>
      </c>
      <c r="G614">
        <v>0</v>
      </c>
    </row>
    <row r="615" spans="1:7" x14ac:dyDescent="0.2">
      <c r="A615" s="7">
        <v>45491</v>
      </c>
      <c r="B615">
        <v>0</v>
      </c>
      <c r="D615" s="9"/>
      <c r="E615" s="9"/>
      <c r="F615" s="10">
        <v>45491</v>
      </c>
      <c r="G615">
        <v>0</v>
      </c>
    </row>
    <row r="616" spans="1:7" x14ac:dyDescent="0.2">
      <c r="A616" s="7">
        <v>45492</v>
      </c>
      <c r="B616">
        <v>0</v>
      </c>
      <c r="D616" s="9"/>
      <c r="E616" s="9"/>
      <c r="F616" s="10">
        <v>45492</v>
      </c>
      <c r="G616">
        <v>0</v>
      </c>
    </row>
    <row r="617" spans="1:7" x14ac:dyDescent="0.2">
      <c r="A617" s="7">
        <v>45493</v>
      </c>
      <c r="B617">
        <v>0</v>
      </c>
      <c r="D617" s="9"/>
      <c r="E617" s="9"/>
      <c r="F617" s="10">
        <v>45493</v>
      </c>
      <c r="G617">
        <v>0</v>
      </c>
    </row>
    <row r="618" spans="1:7" x14ac:dyDescent="0.2">
      <c r="A618" s="7">
        <v>45494</v>
      </c>
      <c r="B618">
        <v>0</v>
      </c>
      <c r="D618" s="9"/>
      <c r="E618" s="9"/>
      <c r="F618" s="10">
        <v>45494</v>
      </c>
      <c r="G618">
        <v>0</v>
      </c>
    </row>
    <row r="619" spans="1:7" x14ac:dyDescent="0.2">
      <c r="A619" s="7">
        <v>45495</v>
      </c>
      <c r="B619">
        <v>0</v>
      </c>
      <c r="D619" s="9"/>
      <c r="E619" s="9"/>
      <c r="F619" s="10">
        <v>45495</v>
      </c>
      <c r="G619">
        <v>0</v>
      </c>
    </row>
    <row r="620" spans="1:7" x14ac:dyDescent="0.2">
      <c r="A620" s="7">
        <v>45496</v>
      </c>
      <c r="B620">
        <v>0</v>
      </c>
      <c r="D620" s="9"/>
      <c r="E620" s="9"/>
      <c r="F620" s="10">
        <v>45496</v>
      </c>
      <c r="G620">
        <v>0</v>
      </c>
    </row>
    <row r="621" spans="1:7" x14ac:dyDescent="0.2">
      <c r="A621" s="7">
        <v>45497</v>
      </c>
      <c r="B621">
        <v>0</v>
      </c>
      <c r="D621" s="9"/>
      <c r="E621" s="9"/>
      <c r="F621" s="10">
        <v>45497</v>
      </c>
      <c r="G621">
        <v>0</v>
      </c>
    </row>
    <row r="622" spans="1:7" x14ac:dyDescent="0.2">
      <c r="A622" s="7">
        <v>45498</v>
      </c>
      <c r="B622">
        <v>0</v>
      </c>
      <c r="D622" s="9"/>
      <c r="E622" s="9"/>
      <c r="F622" s="10">
        <v>45498</v>
      </c>
      <c r="G622">
        <v>0</v>
      </c>
    </row>
    <row r="623" spans="1:7" x14ac:dyDescent="0.2">
      <c r="A623" s="7">
        <v>45499</v>
      </c>
      <c r="B623">
        <v>0</v>
      </c>
      <c r="D623" s="9"/>
      <c r="E623" s="9"/>
      <c r="F623" s="10">
        <v>45499</v>
      </c>
      <c r="G623">
        <v>0</v>
      </c>
    </row>
    <row r="624" spans="1:7" x14ac:dyDescent="0.2">
      <c r="A624" s="7">
        <v>45500</v>
      </c>
      <c r="B624">
        <v>0</v>
      </c>
      <c r="D624" s="9"/>
      <c r="E624" s="9"/>
      <c r="F624" s="10">
        <v>45500</v>
      </c>
      <c r="G624">
        <v>0</v>
      </c>
    </row>
    <row r="625" spans="1:7" x14ac:dyDescent="0.2">
      <c r="A625" s="7">
        <v>45501</v>
      </c>
      <c r="B625">
        <v>0</v>
      </c>
      <c r="D625" s="9"/>
      <c r="E625" s="9"/>
      <c r="F625" s="10">
        <v>45501</v>
      </c>
      <c r="G625">
        <v>0</v>
      </c>
    </row>
    <row r="626" spans="1:7" x14ac:dyDescent="0.2">
      <c r="A626" s="7">
        <v>45502</v>
      </c>
      <c r="B626">
        <v>0</v>
      </c>
      <c r="D626" s="9"/>
      <c r="E626" s="9"/>
      <c r="F626" s="10">
        <v>45502</v>
      </c>
      <c r="G626">
        <v>0</v>
      </c>
    </row>
    <row r="627" spans="1:7" x14ac:dyDescent="0.2">
      <c r="A627" s="7">
        <v>45503</v>
      </c>
      <c r="B627">
        <v>0</v>
      </c>
      <c r="D627" s="9"/>
      <c r="E627" s="9"/>
      <c r="F627" s="10">
        <v>45503</v>
      </c>
      <c r="G627">
        <v>0</v>
      </c>
    </row>
    <row r="628" spans="1:7" x14ac:dyDescent="0.2">
      <c r="A628" s="7">
        <v>45504</v>
      </c>
      <c r="B628">
        <v>0</v>
      </c>
      <c r="D628" s="9"/>
      <c r="E628" s="9"/>
      <c r="F628" s="10">
        <v>45504</v>
      </c>
      <c r="G628">
        <v>0</v>
      </c>
    </row>
    <row r="629" spans="1:7" x14ac:dyDescent="0.2">
      <c r="A629" s="7">
        <v>45505</v>
      </c>
      <c r="B629">
        <v>0</v>
      </c>
      <c r="D629" s="9"/>
      <c r="E629" s="9"/>
      <c r="F629" s="10">
        <v>45505</v>
      </c>
      <c r="G629">
        <v>0</v>
      </c>
    </row>
    <row r="630" spans="1:7" x14ac:dyDescent="0.2">
      <c r="A630" s="7">
        <v>45506</v>
      </c>
      <c r="B630">
        <v>1</v>
      </c>
      <c r="D630" s="9"/>
      <c r="E630" s="9"/>
      <c r="F630" s="10">
        <v>45506</v>
      </c>
      <c r="G630">
        <v>700</v>
      </c>
    </row>
    <row r="631" spans="1:7" x14ac:dyDescent="0.2">
      <c r="A631" s="7">
        <v>45507</v>
      </c>
      <c r="B631">
        <v>0</v>
      </c>
      <c r="D631" s="9"/>
      <c r="E631" s="9"/>
      <c r="F631" s="10">
        <v>45507</v>
      </c>
      <c r="G631">
        <v>0</v>
      </c>
    </row>
    <row r="632" spans="1:7" x14ac:dyDescent="0.2">
      <c r="A632" s="7">
        <v>45508</v>
      </c>
      <c r="B632">
        <v>0</v>
      </c>
      <c r="D632" s="9"/>
      <c r="E632" s="9"/>
      <c r="F632" s="10">
        <v>45508</v>
      </c>
      <c r="G632">
        <v>0</v>
      </c>
    </row>
    <row r="633" spans="1:7" x14ac:dyDescent="0.2">
      <c r="A633" s="7">
        <v>45509</v>
      </c>
      <c r="B633">
        <v>0</v>
      </c>
      <c r="D633" s="9"/>
      <c r="E633" s="9"/>
      <c r="F633" s="10">
        <v>45509</v>
      </c>
      <c r="G633">
        <v>0</v>
      </c>
    </row>
    <row r="634" spans="1:7" x14ac:dyDescent="0.2">
      <c r="A634" s="7">
        <v>45510</v>
      </c>
      <c r="B634">
        <v>0</v>
      </c>
      <c r="D634" s="9"/>
      <c r="E634" s="9"/>
      <c r="F634" s="10">
        <v>45510</v>
      </c>
      <c r="G634">
        <v>0</v>
      </c>
    </row>
    <row r="635" spans="1:7" x14ac:dyDescent="0.2">
      <c r="A635" s="7">
        <v>45511</v>
      </c>
      <c r="B635">
        <v>0</v>
      </c>
      <c r="D635" s="9"/>
      <c r="E635" s="9"/>
      <c r="F635" s="10">
        <v>45511</v>
      </c>
      <c r="G635">
        <v>0</v>
      </c>
    </row>
    <row r="636" spans="1:7" x14ac:dyDescent="0.2">
      <c r="A636" s="7">
        <v>45512</v>
      </c>
      <c r="B636">
        <v>0</v>
      </c>
      <c r="D636" s="9"/>
      <c r="E636" s="9"/>
      <c r="F636" s="10">
        <v>45512</v>
      </c>
      <c r="G636">
        <v>0</v>
      </c>
    </row>
    <row r="637" spans="1:7" x14ac:dyDescent="0.2">
      <c r="A637" s="7">
        <v>45513</v>
      </c>
      <c r="B637">
        <v>1</v>
      </c>
      <c r="D637" s="9"/>
      <c r="E637" s="9"/>
      <c r="F637" s="10">
        <v>45513</v>
      </c>
      <c r="G637">
        <v>300</v>
      </c>
    </row>
    <row r="638" spans="1:7" x14ac:dyDescent="0.2">
      <c r="A638" s="7">
        <v>45514</v>
      </c>
      <c r="B638">
        <v>0</v>
      </c>
      <c r="D638" s="9"/>
      <c r="E638" s="9"/>
      <c r="F638" s="10">
        <v>45514</v>
      </c>
      <c r="G638">
        <v>0</v>
      </c>
    </row>
    <row r="639" spans="1:7" x14ac:dyDescent="0.2">
      <c r="A639" s="7">
        <v>45515</v>
      </c>
      <c r="B639">
        <v>0</v>
      </c>
      <c r="D639" s="9"/>
      <c r="E639" s="9"/>
      <c r="F639" s="10">
        <v>45515</v>
      </c>
      <c r="G639">
        <v>0</v>
      </c>
    </row>
    <row r="640" spans="1:7" x14ac:dyDescent="0.2">
      <c r="A640" s="7">
        <v>45516</v>
      </c>
      <c r="B640">
        <v>0</v>
      </c>
      <c r="D640" s="9"/>
      <c r="E640" s="9"/>
      <c r="F640" s="10">
        <v>45516</v>
      </c>
      <c r="G640">
        <v>0</v>
      </c>
    </row>
    <row r="641" spans="1:7" x14ac:dyDescent="0.2">
      <c r="A641" s="7">
        <v>45517</v>
      </c>
      <c r="B641">
        <v>0</v>
      </c>
      <c r="D641" s="9"/>
      <c r="E641" s="9"/>
      <c r="F641" s="10">
        <v>45517</v>
      </c>
      <c r="G641">
        <v>0</v>
      </c>
    </row>
    <row r="642" spans="1:7" x14ac:dyDescent="0.2">
      <c r="A642" s="7">
        <v>45518</v>
      </c>
      <c r="B642">
        <v>1</v>
      </c>
      <c r="D642" s="9"/>
      <c r="E642" s="9"/>
      <c r="F642" s="10">
        <v>45518</v>
      </c>
      <c r="G642">
        <v>450</v>
      </c>
    </row>
    <row r="643" spans="1:7" x14ac:dyDescent="0.2">
      <c r="A643" s="7">
        <v>45519</v>
      </c>
      <c r="B643">
        <v>0</v>
      </c>
      <c r="D643" s="9"/>
      <c r="E643" s="9"/>
      <c r="F643" s="10">
        <v>45519</v>
      </c>
      <c r="G643">
        <v>0</v>
      </c>
    </row>
    <row r="644" spans="1:7" x14ac:dyDescent="0.2">
      <c r="A644" s="7">
        <v>45520</v>
      </c>
      <c r="B644">
        <v>0</v>
      </c>
      <c r="D644" s="9"/>
      <c r="E644" s="9"/>
      <c r="F644" s="10">
        <v>45520</v>
      </c>
      <c r="G644">
        <v>0</v>
      </c>
    </row>
    <row r="645" spans="1:7" x14ac:dyDescent="0.2">
      <c r="A645" s="7">
        <v>45521</v>
      </c>
      <c r="B645">
        <v>0</v>
      </c>
      <c r="D645" s="9"/>
      <c r="E645" s="9"/>
      <c r="F645" s="10">
        <v>45521</v>
      </c>
      <c r="G645">
        <v>0</v>
      </c>
    </row>
    <row r="646" spans="1:7" x14ac:dyDescent="0.2">
      <c r="A646" s="7">
        <v>45522</v>
      </c>
      <c r="B646">
        <v>0</v>
      </c>
      <c r="D646" s="9"/>
      <c r="E646" s="9"/>
      <c r="F646" s="10">
        <v>45522</v>
      </c>
      <c r="G646">
        <v>0</v>
      </c>
    </row>
    <row r="647" spans="1:7" x14ac:dyDescent="0.2">
      <c r="A647" s="7">
        <v>45523</v>
      </c>
      <c r="B647">
        <v>0</v>
      </c>
      <c r="D647" s="9"/>
      <c r="E647" s="9"/>
      <c r="F647" s="10">
        <v>45523</v>
      </c>
      <c r="G647">
        <v>0</v>
      </c>
    </row>
    <row r="648" spans="1:7" x14ac:dyDescent="0.2">
      <c r="A648" s="7">
        <v>45524</v>
      </c>
      <c r="B648">
        <v>0</v>
      </c>
      <c r="D648" s="9"/>
      <c r="E648" s="9"/>
      <c r="F648" s="10">
        <v>45524</v>
      </c>
      <c r="G648">
        <v>0</v>
      </c>
    </row>
    <row r="649" spans="1:7" x14ac:dyDescent="0.2">
      <c r="A649" s="7">
        <v>45525</v>
      </c>
      <c r="B649">
        <v>0</v>
      </c>
      <c r="D649" s="9"/>
      <c r="E649" s="9"/>
      <c r="F649" s="10">
        <v>45525</v>
      </c>
      <c r="G649">
        <v>0</v>
      </c>
    </row>
    <row r="650" spans="1:7" x14ac:dyDescent="0.2">
      <c r="A650" s="7">
        <v>45526</v>
      </c>
      <c r="B650">
        <v>1</v>
      </c>
      <c r="D650" s="9"/>
      <c r="E650" s="9"/>
      <c r="F650" s="10">
        <v>45526</v>
      </c>
      <c r="G650">
        <v>700</v>
      </c>
    </row>
    <row r="651" spans="1:7" x14ac:dyDescent="0.2">
      <c r="A651" s="7">
        <v>45527</v>
      </c>
      <c r="B651">
        <v>0</v>
      </c>
      <c r="D651" s="9"/>
      <c r="E651" s="9"/>
      <c r="F651" s="10">
        <v>45527</v>
      </c>
      <c r="G651">
        <v>0</v>
      </c>
    </row>
    <row r="652" spans="1:7" x14ac:dyDescent="0.2">
      <c r="A652" s="7">
        <v>45528</v>
      </c>
      <c r="B652">
        <v>0</v>
      </c>
      <c r="D652" s="9"/>
      <c r="E652" s="9"/>
      <c r="F652" s="10">
        <v>45528</v>
      </c>
      <c r="G652">
        <v>0</v>
      </c>
    </row>
    <row r="653" spans="1:7" x14ac:dyDescent="0.2">
      <c r="A653" s="7">
        <v>45529</v>
      </c>
      <c r="B653">
        <v>0</v>
      </c>
      <c r="D653" s="9"/>
      <c r="E653" s="9"/>
      <c r="F653" s="10">
        <v>45529</v>
      </c>
      <c r="G653">
        <v>0</v>
      </c>
    </row>
    <row r="654" spans="1:7" x14ac:dyDescent="0.2">
      <c r="A654" s="7">
        <v>45530</v>
      </c>
      <c r="B654">
        <v>1</v>
      </c>
      <c r="D654" s="9"/>
      <c r="E654" s="9"/>
      <c r="F654" s="10">
        <v>45530</v>
      </c>
      <c r="G654">
        <v>300</v>
      </c>
    </row>
    <row r="655" spans="1:7" x14ac:dyDescent="0.2">
      <c r="A655" s="7">
        <v>45531</v>
      </c>
      <c r="B655">
        <v>0</v>
      </c>
      <c r="D655" s="9"/>
      <c r="E655" s="9"/>
      <c r="F655" s="10">
        <v>45531</v>
      </c>
      <c r="G655">
        <v>0</v>
      </c>
    </row>
    <row r="656" spans="1:7" x14ac:dyDescent="0.2">
      <c r="A656" s="7">
        <v>45532</v>
      </c>
      <c r="B656">
        <v>0</v>
      </c>
      <c r="D656" s="9"/>
      <c r="E656" s="9"/>
      <c r="F656" s="10">
        <v>45532</v>
      </c>
      <c r="G656">
        <v>0</v>
      </c>
    </row>
    <row r="657" spans="1:7" x14ac:dyDescent="0.2">
      <c r="A657" s="7">
        <v>45533</v>
      </c>
      <c r="B657">
        <v>1</v>
      </c>
      <c r="D657" s="9"/>
      <c r="E657" s="9"/>
      <c r="F657" s="10">
        <v>45533</v>
      </c>
      <c r="G657">
        <v>450</v>
      </c>
    </row>
    <row r="658" spans="1:7" x14ac:dyDescent="0.2">
      <c r="A658" s="7">
        <v>45534</v>
      </c>
      <c r="B658">
        <v>1</v>
      </c>
      <c r="D658" s="9"/>
      <c r="E658" s="9"/>
      <c r="F658" s="10">
        <v>45534</v>
      </c>
      <c r="G658">
        <v>700</v>
      </c>
    </row>
    <row r="659" spans="1:7" x14ac:dyDescent="0.2">
      <c r="A659" s="7">
        <v>45535</v>
      </c>
      <c r="B659">
        <v>0</v>
      </c>
      <c r="D659" s="9"/>
      <c r="E659" s="9"/>
      <c r="F659" s="10">
        <v>45535</v>
      </c>
      <c r="G659">
        <v>0</v>
      </c>
    </row>
    <row r="660" spans="1:7" x14ac:dyDescent="0.2">
      <c r="A660" s="7">
        <v>45536</v>
      </c>
      <c r="B660">
        <v>0</v>
      </c>
      <c r="D660" s="9"/>
      <c r="E660" s="9"/>
      <c r="F660" s="10">
        <v>45536</v>
      </c>
      <c r="G660">
        <v>0</v>
      </c>
    </row>
    <row r="661" spans="1:7" x14ac:dyDescent="0.2">
      <c r="A661" s="7">
        <v>45537</v>
      </c>
      <c r="B661">
        <v>0</v>
      </c>
      <c r="D661" s="9"/>
      <c r="E661" s="9"/>
      <c r="F661" s="10">
        <v>45537</v>
      </c>
      <c r="G661">
        <v>0</v>
      </c>
    </row>
    <row r="662" spans="1:7" x14ac:dyDescent="0.2">
      <c r="A662" s="7">
        <v>45538</v>
      </c>
      <c r="B662">
        <v>0</v>
      </c>
      <c r="D662" s="9"/>
      <c r="E662" s="9"/>
      <c r="F662" s="10">
        <v>45538</v>
      </c>
      <c r="G662">
        <v>0</v>
      </c>
    </row>
    <row r="663" spans="1:7" x14ac:dyDescent="0.2">
      <c r="A663" s="7">
        <v>45539</v>
      </c>
      <c r="B663">
        <v>0</v>
      </c>
      <c r="D663" s="9"/>
      <c r="E663" s="9"/>
      <c r="F663" s="10">
        <v>45539</v>
      </c>
      <c r="G663">
        <v>0</v>
      </c>
    </row>
    <row r="664" spans="1:7" x14ac:dyDescent="0.2">
      <c r="A664" s="7">
        <v>45540</v>
      </c>
      <c r="B664">
        <v>0</v>
      </c>
      <c r="D664" s="9"/>
      <c r="E664" s="9"/>
      <c r="F664" s="10">
        <v>45540</v>
      </c>
      <c r="G664">
        <v>0</v>
      </c>
    </row>
    <row r="665" spans="1:7" x14ac:dyDescent="0.2">
      <c r="A665" s="7">
        <v>45541</v>
      </c>
      <c r="B665">
        <v>0</v>
      </c>
      <c r="D665" s="9"/>
      <c r="E665" s="9"/>
      <c r="F665" s="10">
        <v>45541</v>
      </c>
      <c r="G665">
        <v>0</v>
      </c>
    </row>
    <row r="666" spans="1:7" x14ac:dyDescent="0.2">
      <c r="A666" s="7">
        <v>45542</v>
      </c>
      <c r="B666">
        <v>0</v>
      </c>
      <c r="D666" s="9"/>
      <c r="E666" s="9"/>
      <c r="F666" s="10">
        <v>45542</v>
      </c>
      <c r="G666">
        <v>0</v>
      </c>
    </row>
    <row r="667" spans="1:7" x14ac:dyDescent="0.2">
      <c r="A667" s="7">
        <v>45543</v>
      </c>
      <c r="B667">
        <v>0</v>
      </c>
      <c r="D667" s="9"/>
      <c r="E667" s="9"/>
      <c r="F667" s="10">
        <v>45543</v>
      </c>
      <c r="G667">
        <v>0</v>
      </c>
    </row>
    <row r="668" spans="1:7" x14ac:dyDescent="0.2">
      <c r="A668" s="7">
        <v>45544</v>
      </c>
      <c r="B668">
        <v>0</v>
      </c>
      <c r="D668" s="9"/>
      <c r="E668" s="9"/>
      <c r="F668" s="10">
        <v>45544</v>
      </c>
      <c r="G668">
        <v>0</v>
      </c>
    </row>
    <row r="669" spans="1:7" x14ac:dyDescent="0.2">
      <c r="A669" s="7">
        <v>45545</v>
      </c>
      <c r="B669">
        <v>0</v>
      </c>
      <c r="D669" s="9"/>
      <c r="E669" s="9"/>
      <c r="F669" s="10">
        <v>45545</v>
      </c>
      <c r="G669">
        <v>0</v>
      </c>
    </row>
    <row r="670" spans="1:7" x14ac:dyDescent="0.2">
      <c r="A670" s="7">
        <v>45546</v>
      </c>
      <c r="B670">
        <v>0</v>
      </c>
      <c r="D670" s="9"/>
      <c r="E670" s="9"/>
      <c r="F670" s="10">
        <v>45546</v>
      </c>
      <c r="G670">
        <v>0</v>
      </c>
    </row>
    <row r="671" spans="1:7" x14ac:dyDescent="0.2">
      <c r="A671" s="7">
        <v>45547</v>
      </c>
      <c r="B671">
        <v>0</v>
      </c>
      <c r="D671" s="9"/>
      <c r="E671" s="9"/>
      <c r="F671" s="10">
        <v>45547</v>
      </c>
      <c r="G671">
        <v>0</v>
      </c>
    </row>
    <row r="672" spans="1:7" x14ac:dyDescent="0.2">
      <c r="A672" s="7">
        <v>45548</v>
      </c>
      <c r="B672">
        <v>0</v>
      </c>
      <c r="D672" s="9"/>
      <c r="E672" s="9"/>
      <c r="F672" s="10">
        <v>45548</v>
      </c>
      <c r="G672">
        <v>0</v>
      </c>
    </row>
    <row r="673" spans="1:7" x14ac:dyDescent="0.2">
      <c r="A673" s="7">
        <v>45549</v>
      </c>
      <c r="B673">
        <v>0</v>
      </c>
      <c r="D673" s="9"/>
      <c r="E673" s="9"/>
      <c r="F673" s="10">
        <v>45549</v>
      </c>
      <c r="G673">
        <v>0</v>
      </c>
    </row>
    <row r="674" spans="1:7" x14ac:dyDescent="0.2">
      <c r="A674" s="7">
        <v>45550</v>
      </c>
      <c r="B674">
        <v>0</v>
      </c>
      <c r="D674" s="9"/>
      <c r="E674" s="9"/>
      <c r="F674" s="10">
        <v>45550</v>
      </c>
      <c r="G674">
        <v>0</v>
      </c>
    </row>
    <row r="675" spans="1:7" x14ac:dyDescent="0.2">
      <c r="A675" s="7">
        <v>45551</v>
      </c>
      <c r="B675">
        <v>0</v>
      </c>
      <c r="D675" s="9"/>
      <c r="E675" s="9"/>
      <c r="F675" s="10">
        <v>45551</v>
      </c>
      <c r="G675">
        <v>0</v>
      </c>
    </row>
    <row r="676" spans="1:7" x14ac:dyDescent="0.2">
      <c r="A676" s="7">
        <v>45552</v>
      </c>
      <c r="B676">
        <v>0</v>
      </c>
      <c r="D676" s="9"/>
      <c r="E676" s="9"/>
      <c r="F676" s="10">
        <v>45552</v>
      </c>
      <c r="G676">
        <v>0</v>
      </c>
    </row>
    <row r="677" spans="1:7" x14ac:dyDescent="0.2">
      <c r="A677" s="7">
        <v>45553</v>
      </c>
      <c r="B677">
        <v>0</v>
      </c>
      <c r="D677" s="9"/>
      <c r="E677" s="9"/>
      <c r="F677" s="10">
        <v>45553</v>
      </c>
      <c r="G677">
        <v>0</v>
      </c>
    </row>
    <row r="678" spans="1:7" x14ac:dyDescent="0.2">
      <c r="A678" s="7">
        <v>45554</v>
      </c>
      <c r="B678">
        <v>0</v>
      </c>
      <c r="D678" s="9"/>
      <c r="E678" s="9"/>
      <c r="F678" s="10">
        <v>45554</v>
      </c>
      <c r="G678">
        <v>0</v>
      </c>
    </row>
    <row r="679" spans="1:7" x14ac:dyDescent="0.2">
      <c r="A679" s="7">
        <v>45555</v>
      </c>
      <c r="B679">
        <v>0</v>
      </c>
      <c r="D679" s="9"/>
      <c r="E679" s="9"/>
      <c r="F679" s="10">
        <v>45555</v>
      </c>
      <c r="G679">
        <v>0</v>
      </c>
    </row>
    <row r="680" spans="1:7" x14ac:dyDescent="0.2">
      <c r="A680" s="7">
        <v>45556</v>
      </c>
      <c r="B680">
        <v>0</v>
      </c>
      <c r="D680" s="9"/>
      <c r="E680" s="9"/>
      <c r="F680" s="10">
        <v>45556</v>
      </c>
      <c r="G680">
        <v>0</v>
      </c>
    </row>
    <row r="681" spans="1:7" x14ac:dyDescent="0.2">
      <c r="A681" s="7">
        <v>45557</v>
      </c>
      <c r="B681">
        <v>0</v>
      </c>
      <c r="D681" s="9"/>
      <c r="E681" s="9"/>
      <c r="F681" s="10">
        <v>45557</v>
      </c>
      <c r="G681">
        <v>0</v>
      </c>
    </row>
    <row r="682" spans="1:7" x14ac:dyDescent="0.2">
      <c r="A682" s="7">
        <v>45558</v>
      </c>
      <c r="B682">
        <v>0</v>
      </c>
      <c r="D682" s="9"/>
      <c r="E682" s="9"/>
      <c r="F682" s="10">
        <v>45558</v>
      </c>
      <c r="G682">
        <v>0</v>
      </c>
    </row>
    <row r="683" spans="1:7" x14ac:dyDescent="0.2">
      <c r="A683" s="7">
        <v>45559</v>
      </c>
      <c r="B683">
        <v>0</v>
      </c>
      <c r="D683" s="9"/>
      <c r="E683" s="9"/>
      <c r="F683" s="10">
        <v>45559</v>
      </c>
      <c r="G683">
        <v>0</v>
      </c>
    </row>
    <row r="684" spans="1:7" x14ac:dyDescent="0.2">
      <c r="A684" s="7">
        <v>45560</v>
      </c>
      <c r="B684">
        <v>1</v>
      </c>
      <c r="D684" s="9"/>
      <c r="E684" s="9"/>
      <c r="F684" s="10">
        <v>45560</v>
      </c>
      <c r="G684">
        <v>300</v>
      </c>
    </row>
    <row r="685" spans="1:7" x14ac:dyDescent="0.2">
      <c r="A685" s="7">
        <v>45561</v>
      </c>
      <c r="B685">
        <v>0</v>
      </c>
      <c r="D685" s="9"/>
      <c r="E685" s="9"/>
      <c r="F685" s="10">
        <v>45561</v>
      </c>
      <c r="G685">
        <v>0</v>
      </c>
    </row>
    <row r="686" spans="1:7" x14ac:dyDescent="0.2">
      <c r="A686" s="7">
        <v>45562</v>
      </c>
      <c r="B686">
        <v>1</v>
      </c>
      <c r="D686" s="9"/>
      <c r="E686" s="9"/>
      <c r="F686" s="10">
        <v>45562</v>
      </c>
      <c r="G686">
        <v>450</v>
      </c>
    </row>
    <row r="687" spans="1:7" x14ac:dyDescent="0.2">
      <c r="A687" s="7">
        <v>45563</v>
      </c>
      <c r="B687">
        <v>0</v>
      </c>
      <c r="D687" s="9"/>
      <c r="E687" s="9"/>
      <c r="F687" s="10">
        <v>45563</v>
      </c>
      <c r="G687">
        <v>0</v>
      </c>
    </row>
    <row r="688" spans="1:7" x14ac:dyDescent="0.2">
      <c r="A688" s="7">
        <v>45564</v>
      </c>
      <c r="B688">
        <v>0</v>
      </c>
      <c r="D688" s="9"/>
      <c r="E688" s="9"/>
      <c r="F688" s="10">
        <v>45564</v>
      </c>
      <c r="G688">
        <v>0</v>
      </c>
    </row>
    <row r="689" spans="1:7" x14ac:dyDescent="0.2">
      <c r="A689" s="7">
        <v>45565</v>
      </c>
      <c r="B689">
        <v>0</v>
      </c>
      <c r="D689" s="9"/>
      <c r="E689" s="9"/>
      <c r="F689" s="10">
        <v>45565</v>
      </c>
      <c r="G689">
        <v>0</v>
      </c>
    </row>
    <row r="690" spans="1:7" x14ac:dyDescent="0.2">
      <c r="A690" s="7">
        <v>45566</v>
      </c>
      <c r="B690">
        <v>1</v>
      </c>
      <c r="D690" s="9"/>
      <c r="E690" s="9"/>
      <c r="F690" s="10">
        <v>45566</v>
      </c>
      <c r="G690">
        <v>700</v>
      </c>
    </row>
    <row r="691" spans="1:7" x14ac:dyDescent="0.2">
      <c r="A691" s="7">
        <v>45567</v>
      </c>
      <c r="B691">
        <v>0</v>
      </c>
      <c r="D691" s="9"/>
      <c r="E691" s="9"/>
      <c r="F691" s="10">
        <v>45567</v>
      </c>
      <c r="G691">
        <v>0</v>
      </c>
    </row>
    <row r="692" spans="1:7" x14ac:dyDescent="0.2">
      <c r="A692" s="7">
        <v>45568</v>
      </c>
      <c r="B692">
        <v>0</v>
      </c>
      <c r="D692" s="9"/>
      <c r="E692" s="9"/>
      <c r="F692" s="10">
        <v>45568</v>
      </c>
      <c r="G692">
        <v>0</v>
      </c>
    </row>
    <row r="693" spans="1:7" x14ac:dyDescent="0.2">
      <c r="A693" s="7">
        <v>45569</v>
      </c>
      <c r="B693">
        <v>0</v>
      </c>
      <c r="D693" s="9"/>
      <c r="E693" s="9"/>
      <c r="F693" s="10">
        <v>45569</v>
      </c>
      <c r="G693">
        <v>0</v>
      </c>
    </row>
    <row r="694" spans="1:7" x14ac:dyDescent="0.2">
      <c r="A694" s="7">
        <v>45570</v>
      </c>
      <c r="B694">
        <v>0</v>
      </c>
      <c r="D694" s="9"/>
      <c r="E694" s="9"/>
      <c r="F694" s="10">
        <v>45570</v>
      </c>
      <c r="G694">
        <v>0</v>
      </c>
    </row>
    <row r="695" spans="1:7" x14ac:dyDescent="0.2">
      <c r="A695" s="7">
        <v>45571</v>
      </c>
      <c r="B695">
        <v>1</v>
      </c>
      <c r="D695" s="9"/>
      <c r="E695" s="9"/>
      <c r="F695" s="10">
        <v>45571</v>
      </c>
      <c r="G695">
        <v>300</v>
      </c>
    </row>
    <row r="696" spans="1:7" x14ac:dyDescent="0.2">
      <c r="A696" s="7">
        <v>45572</v>
      </c>
      <c r="B696">
        <v>0</v>
      </c>
      <c r="D696" s="9"/>
      <c r="E696" s="9"/>
      <c r="F696" s="10">
        <v>45572</v>
      </c>
      <c r="G696">
        <v>0</v>
      </c>
    </row>
    <row r="697" spans="1:7" x14ac:dyDescent="0.2">
      <c r="A697" s="7">
        <v>45573</v>
      </c>
      <c r="B697">
        <v>0</v>
      </c>
      <c r="D697" s="9"/>
      <c r="E697" s="9"/>
      <c r="F697" s="10">
        <v>45573</v>
      </c>
      <c r="G697">
        <v>0</v>
      </c>
    </row>
    <row r="698" spans="1:7" x14ac:dyDescent="0.2">
      <c r="A698" s="7">
        <v>45574</v>
      </c>
      <c r="B698">
        <v>0</v>
      </c>
      <c r="D698" s="9"/>
      <c r="E698" s="9"/>
      <c r="F698" s="10">
        <v>45574</v>
      </c>
      <c r="G698">
        <v>0</v>
      </c>
    </row>
    <row r="699" spans="1:7" x14ac:dyDescent="0.2">
      <c r="A699" s="7">
        <v>45575</v>
      </c>
      <c r="B699">
        <v>0</v>
      </c>
      <c r="D699" s="9"/>
      <c r="E699" s="9"/>
      <c r="F699" s="10">
        <v>45575</v>
      </c>
      <c r="G699">
        <v>0</v>
      </c>
    </row>
    <row r="700" spans="1:7" x14ac:dyDescent="0.2">
      <c r="A700" s="7">
        <v>45576</v>
      </c>
      <c r="B700">
        <v>0</v>
      </c>
      <c r="D700" s="9"/>
      <c r="E700" s="9"/>
      <c r="F700" s="10">
        <v>45576</v>
      </c>
      <c r="G700">
        <v>0</v>
      </c>
    </row>
    <row r="701" spans="1:7" x14ac:dyDescent="0.2">
      <c r="A701" s="7">
        <v>45577</v>
      </c>
      <c r="B701">
        <v>0</v>
      </c>
      <c r="D701" s="9"/>
      <c r="E701" s="9"/>
      <c r="F701" s="10">
        <v>45577</v>
      </c>
      <c r="G701">
        <v>0</v>
      </c>
    </row>
    <row r="702" spans="1:7" x14ac:dyDescent="0.2">
      <c r="A702" s="7">
        <v>45578</v>
      </c>
      <c r="B702">
        <v>0</v>
      </c>
      <c r="D702" s="9"/>
      <c r="E702" s="9"/>
      <c r="F702" s="10">
        <v>45578</v>
      </c>
      <c r="G702">
        <v>0</v>
      </c>
    </row>
    <row r="703" spans="1:7" x14ac:dyDescent="0.2">
      <c r="A703" s="7">
        <v>45579</v>
      </c>
      <c r="B703">
        <v>0</v>
      </c>
      <c r="D703" s="9"/>
      <c r="E703" s="9"/>
      <c r="F703" s="10">
        <v>45579</v>
      </c>
      <c r="G703">
        <v>0</v>
      </c>
    </row>
    <row r="704" spans="1:7" x14ac:dyDescent="0.2">
      <c r="A704" s="7">
        <v>45580</v>
      </c>
      <c r="B704">
        <v>0</v>
      </c>
      <c r="D704" s="9"/>
      <c r="E704" s="9"/>
      <c r="F704" s="10">
        <v>45580</v>
      </c>
      <c r="G704">
        <v>0</v>
      </c>
    </row>
    <row r="705" spans="1:7" x14ac:dyDescent="0.2">
      <c r="A705" s="7">
        <v>45581</v>
      </c>
      <c r="B705">
        <v>1</v>
      </c>
      <c r="D705" s="9"/>
      <c r="E705" s="9"/>
      <c r="F705" s="10">
        <v>45581</v>
      </c>
      <c r="G705">
        <v>450</v>
      </c>
    </row>
    <row r="706" spans="1:7" x14ac:dyDescent="0.2">
      <c r="A706" s="7">
        <v>45582</v>
      </c>
      <c r="B706">
        <v>0</v>
      </c>
      <c r="D706" s="9"/>
      <c r="E706" s="9"/>
      <c r="F706" s="10">
        <v>45582</v>
      </c>
      <c r="G706">
        <v>0</v>
      </c>
    </row>
    <row r="707" spans="1:7" x14ac:dyDescent="0.2">
      <c r="A707" s="7">
        <v>45583</v>
      </c>
      <c r="B707">
        <v>0</v>
      </c>
      <c r="D707" s="9"/>
      <c r="E707" s="9"/>
      <c r="F707" s="10">
        <v>45583</v>
      </c>
      <c r="G707">
        <v>0</v>
      </c>
    </row>
    <row r="708" spans="1:7" x14ac:dyDescent="0.2">
      <c r="A708" s="7">
        <v>45584</v>
      </c>
      <c r="B708">
        <v>0</v>
      </c>
      <c r="D708" s="9"/>
      <c r="E708" s="9"/>
      <c r="F708" s="10">
        <v>45584</v>
      </c>
      <c r="G708">
        <v>0</v>
      </c>
    </row>
    <row r="709" spans="1:7" x14ac:dyDescent="0.2">
      <c r="A709" s="7">
        <v>45585</v>
      </c>
      <c r="B709">
        <v>0</v>
      </c>
      <c r="D709" s="9"/>
      <c r="E709" s="9"/>
      <c r="F709" s="10">
        <v>45585</v>
      </c>
      <c r="G709">
        <v>0</v>
      </c>
    </row>
    <row r="710" spans="1:7" x14ac:dyDescent="0.2">
      <c r="A710" s="7">
        <v>45586</v>
      </c>
      <c r="B710">
        <v>0</v>
      </c>
      <c r="D710" s="9"/>
      <c r="E710" s="9"/>
      <c r="F710" s="10">
        <v>45586</v>
      </c>
      <c r="G710">
        <v>0</v>
      </c>
    </row>
    <row r="711" spans="1:7" x14ac:dyDescent="0.2">
      <c r="A711" s="7">
        <v>45587</v>
      </c>
      <c r="B711">
        <v>0</v>
      </c>
      <c r="D711" s="9"/>
      <c r="E711" s="9"/>
      <c r="F711" s="10">
        <v>45587</v>
      </c>
      <c r="G711">
        <v>0</v>
      </c>
    </row>
    <row r="712" spans="1:7" x14ac:dyDescent="0.2">
      <c r="A712" s="7">
        <v>45588</v>
      </c>
      <c r="B712">
        <v>1</v>
      </c>
      <c r="D712" s="9"/>
      <c r="E712" s="9"/>
      <c r="F712" s="10">
        <v>45588</v>
      </c>
      <c r="G712">
        <v>700</v>
      </c>
    </row>
    <row r="713" spans="1:7" x14ac:dyDescent="0.2">
      <c r="A713" s="7">
        <v>45589</v>
      </c>
      <c r="B713">
        <v>0</v>
      </c>
      <c r="D713" s="9"/>
      <c r="E713" s="9"/>
      <c r="F713" s="10">
        <v>45589</v>
      </c>
      <c r="G713">
        <v>0</v>
      </c>
    </row>
    <row r="714" spans="1:7" x14ac:dyDescent="0.2">
      <c r="A714" s="7">
        <v>45590</v>
      </c>
      <c r="B714">
        <v>1</v>
      </c>
      <c r="D714" s="9"/>
      <c r="E714" s="9"/>
      <c r="F714" s="10">
        <v>45590</v>
      </c>
      <c r="G714">
        <v>300</v>
      </c>
    </row>
    <row r="715" spans="1:7" x14ac:dyDescent="0.2">
      <c r="A715" s="7">
        <v>45591</v>
      </c>
      <c r="B715">
        <v>0</v>
      </c>
      <c r="D715" s="9"/>
      <c r="E715" s="9"/>
      <c r="F715" s="10">
        <v>45591</v>
      </c>
      <c r="G715">
        <v>0</v>
      </c>
    </row>
    <row r="716" spans="1:7" x14ac:dyDescent="0.2">
      <c r="A716" s="7">
        <v>45592</v>
      </c>
      <c r="B716">
        <v>0</v>
      </c>
      <c r="D716" s="9"/>
      <c r="E716" s="9"/>
      <c r="F716" s="10">
        <v>45592</v>
      </c>
      <c r="G716">
        <v>0</v>
      </c>
    </row>
    <row r="717" spans="1:7" x14ac:dyDescent="0.2">
      <c r="A717" s="7">
        <v>45593</v>
      </c>
      <c r="B717">
        <v>1</v>
      </c>
      <c r="D717" s="9"/>
      <c r="E717" s="9"/>
      <c r="F717" s="10">
        <v>45593</v>
      </c>
      <c r="G717">
        <v>450</v>
      </c>
    </row>
    <row r="718" spans="1:7" x14ac:dyDescent="0.2">
      <c r="A718" s="7">
        <v>45594</v>
      </c>
      <c r="B718">
        <v>0</v>
      </c>
      <c r="D718" s="9"/>
      <c r="E718" s="9"/>
      <c r="F718" s="10">
        <v>45594</v>
      </c>
      <c r="G718">
        <v>0</v>
      </c>
    </row>
    <row r="719" spans="1:7" x14ac:dyDescent="0.2">
      <c r="A719" s="7">
        <v>45595</v>
      </c>
      <c r="B719">
        <v>0</v>
      </c>
      <c r="D719" s="9"/>
      <c r="E719" s="9"/>
      <c r="F719" s="10">
        <v>45595</v>
      </c>
      <c r="G719">
        <v>0</v>
      </c>
    </row>
    <row r="720" spans="1:7" x14ac:dyDescent="0.2">
      <c r="A720" s="7">
        <v>45596</v>
      </c>
      <c r="B720">
        <v>0</v>
      </c>
      <c r="D720" s="9"/>
      <c r="E720" s="9"/>
      <c r="F720" s="10">
        <v>45596</v>
      </c>
      <c r="G720">
        <v>0</v>
      </c>
    </row>
    <row r="721" spans="1:10" x14ac:dyDescent="0.2">
      <c r="A721" s="7">
        <v>45597</v>
      </c>
      <c r="B721">
        <v>0</v>
      </c>
      <c r="D721" s="9"/>
      <c r="E721" s="9"/>
      <c r="F721" s="10">
        <v>45597</v>
      </c>
      <c r="G721">
        <v>0</v>
      </c>
    </row>
    <row r="722" spans="1:10" x14ac:dyDescent="0.2">
      <c r="A722" s="7">
        <v>45598</v>
      </c>
      <c r="B722">
        <v>1</v>
      </c>
      <c r="C722">
        <v>1</v>
      </c>
      <c r="D722" s="9">
        <v>1</v>
      </c>
      <c r="E722" s="9">
        <v>1</v>
      </c>
      <c r="F722" s="10">
        <v>45598</v>
      </c>
      <c r="G722">
        <v>700</v>
      </c>
      <c r="H722">
        <v>700</v>
      </c>
      <c r="I722" s="9">
        <v>700</v>
      </c>
      <c r="J722" s="9">
        <v>700</v>
      </c>
    </row>
    <row r="723" spans="1:10" x14ac:dyDescent="0.2">
      <c r="A723" s="7">
        <v>45599</v>
      </c>
      <c r="C723">
        <f t="shared" ref="C723:C786" si="0">_xlfn.FORECAST.ETS(A723,$B$2:$B$722,$A$2:$A$722,1,1)</f>
        <v>0.97711240227329776</v>
      </c>
      <c r="D723" s="9">
        <f t="shared" ref="D723:D786" si="1">C723-_xlfn.FORECAST.ETS.CONFINT(A723,$B$2:$B$722,$A$2:$A$722,0.95,1,1)</f>
        <v>0.22977314515153557</v>
      </c>
      <c r="E723" s="9">
        <f t="shared" ref="E723:E786" si="2">C723+_xlfn.FORECAST.ETS.CONFINT(A723,$B$2:$B$722,$A$2:$A$722,0.95,1,1)</f>
        <v>1.7244516593950601</v>
      </c>
      <c r="F723" s="10">
        <v>45599</v>
      </c>
      <c r="H723">
        <f t="shared" ref="H723:H786" si="3">_xlfn.FORECAST.ETS(F723,$G$2:$G$722,$F$2:$F$722,1,1)</f>
        <v>700.03803261347014</v>
      </c>
      <c r="I723" s="9">
        <f t="shared" ref="I723:I786" si="4">H723-_xlfn.FORECAST.ETS.CONFINT(F723,$G$2:$G$722,$F$2:$F$722,0.95,1,1)</f>
        <v>313.47313829120526</v>
      </c>
      <c r="J723" s="9">
        <f t="shared" ref="J723:J786" si="5">H723+_xlfn.FORECAST.ETS.CONFINT(F723,$G$2:$G$722,$F$2:$F$722,0.95,1,1)</f>
        <v>1086.602926935735</v>
      </c>
    </row>
    <row r="724" spans="1:10" x14ac:dyDescent="0.2">
      <c r="A724" s="7">
        <v>45600</v>
      </c>
      <c r="C724">
        <f t="shared" si="0"/>
        <v>0.97436704148568731</v>
      </c>
      <c r="D724" s="9">
        <f t="shared" si="1"/>
        <v>0.22102497493252604</v>
      </c>
      <c r="E724" s="9">
        <f t="shared" si="2"/>
        <v>1.7277091080388485</v>
      </c>
      <c r="F724" s="10">
        <v>45600</v>
      </c>
      <c r="H724">
        <f t="shared" si="3"/>
        <v>700.07606522694061</v>
      </c>
      <c r="I724" s="9">
        <f t="shared" si="4"/>
        <v>310.40618829955696</v>
      </c>
      <c r="J724" s="9">
        <f t="shared" si="5"/>
        <v>1089.7459421543242</v>
      </c>
    </row>
    <row r="725" spans="1:10" x14ac:dyDescent="0.2">
      <c r="A725" s="7">
        <v>45601</v>
      </c>
      <c r="C725">
        <f t="shared" si="0"/>
        <v>0.97867117214405153</v>
      </c>
      <c r="D725" s="9">
        <f t="shared" si="1"/>
        <v>0.21927997202845695</v>
      </c>
      <c r="E725" s="9">
        <f t="shared" si="2"/>
        <v>1.738062372259646</v>
      </c>
      <c r="F725" s="10">
        <v>45601</v>
      </c>
      <c r="H725">
        <f t="shared" si="3"/>
        <v>700.11409784041075</v>
      </c>
      <c r="I725" s="9">
        <f t="shared" si="4"/>
        <v>307.31527692404256</v>
      </c>
      <c r="J725" s="9">
        <f t="shared" si="5"/>
        <v>1092.9129187567789</v>
      </c>
    </row>
    <row r="726" spans="1:10" x14ac:dyDescent="0.2">
      <c r="A726" s="7">
        <v>45602</v>
      </c>
      <c r="C726">
        <f t="shared" si="0"/>
        <v>1.0005584825747924</v>
      </c>
      <c r="D726" s="9">
        <f t="shared" si="1"/>
        <v>0.23507219335043039</v>
      </c>
      <c r="E726" s="9">
        <f t="shared" si="2"/>
        <v>1.7660447717991543</v>
      </c>
      <c r="F726" s="10">
        <v>45602</v>
      </c>
      <c r="H726">
        <f t="shared" si="3"/>
        <v>700.15213045388123</v>
      </c>
      <c r="I726" s="9">
        <f t="shared" si="4"/>
        <v>304.20059481690572</v>
      </c>
      <c r="J726" s="9">
        <f t="shared" si="5"/>
        <v>1096.1036660908567</v>
      </c>
    </row>
    <row r="727" spans="1:10" x14ac:dyDescent="0.2">
      <c r="A727" s="7">
        <v>45603</v>
      </c>
      <c r="C727">
        <f t="shared" si="0"/>
        <v>0.99732028914119353</v>
      </c>
      <c r="D727" s="9">
        <f t="shared" si="1"/>
        <v>0.22569332045557255</v>
      </c>
      <c r="E727" s="9">
        <f t="shared" si="2"/>
        <v>1.7689472578268144</v>
      </c>
      <c r="F727" s="10">
        <v>45603</v>
      </c>
      <c r="H727">
        <f t="shared" si="3"/>
        <v>700.19016306735136</v>
      </c>
      <c r="I727" s="9">
        <f t="shared" si="4"/>
        <v>301.0623308764512</v>
      </c>
      <c r="J727" s="9">
        <f t="shared" si="5"/>
        <v>1099.3179952582516</v>
      </c>
    </row>
    <row r="728" spans="1:10" x14ac:dyDescent="0.2">
      <c r="A728" s="7">
        <v>45604</v>
      </c>
      <c r="C728">
        <f t="shared" si="0"/>
        <v>0.9918997357234306</v>
      </c>
      <c r="D728" s="9">
        <f t="shared" si="1"/>
        <v>0.21408685894498369</v>
      </c>
      <c r="E728" s="9">
        <f t="shared" si="2"/>
        <v>1.7697126125018774</v>
      </c>
      <c r="F728" s="10">
        <v>45604</v>
      </c>
      <c r="H728">
        <f t="shared" si="3"/>
        <v>700.22819568082184</v>
      </c>
      <c r="I728" s="9">
        <f t="shared" si="4"/>
        <v>297.90067220460099</v>
      </c>
      <c r="J728" s="9">
        <f t="shared" si="5"/>
        <v>1102.5557191570426</v>
      </c>
    </row>
    <row r="729" spans="1:10" x14ac:dyDescent="0.2">
      <c r="A729" s="7">
        <v>45605</v>
      </c>
      <c r="C729">
        <f t="shared" si="0"/>
        <v>0.99852382007048679</v>
      </c>
      <c r="D729" s="9">
        <f t="shared" si="1"/>
        <v>0.21448016474214771</v>
      </c>
      <c r="E729" s="9">
        <f t="shared" si="2"/>
        <v>1.7825674753988259</v>
      </c>
      <c r="F729" s="10">
        <v>45605</v>
      </c>
      <c r="H729">
        <f t="shared" si="3"/>
        <v>700.26622829429198</v>
      </c>
      <c r="I729" s="9">
        <f t="shared" si="4"/>
        <v>294.71580406887091</v>
      </c>
      <c r="J729" s="9">
        <f t="shared" si="5"/>
        <v>1105.816652519713</v>
      </c>
    </row>
    <row r="730" spans="1:10" x14ac:dyDescent="0.2">
      <c r="A730" s="7">
        <v>45606</v>
      </c>
      <c r="C730">
        <f t="shared" si="0"/>
        <v>1.0006023618064068</v>
      </c>
      <c r="D730" s="9">
        <f t="shared" si="1"/>
        <v>0.21028341203380341</v>
      </c>
      <c r="E730" s="9">
        <f t="shared" si="2"/>
        <v>1.7909213115790101</v>
      </c>
      <c r="F730" s="10">
        <v>45606</v>
      </c>
      <c r="H730">
        <f t="shared" si="3"/>
        <v>700.30426090776245</v>
      </c>
      <c r="I730" s="9">
        <f t="shared" si="4"/>
        <v>291.5079098685531</v>
      </c>
      <c r="J730" s="9">
        <f t="shared" si="5"/>
        <v>1109.1006119469719</v>
      </c>
    </row>
    <row r="731" spans="1:10" x14ac:dyDescent="0.2">
      <c r="A731" s="7">
        <v>45607</v>
      </c>
      <c r="C731">
        <f t="shared" si="0"/>
        <v>0.97771476407970448</v>
      </c>
      <c r="D731" s="9">
        <f t="shared" si="1"/>
        <v>0.18098206371145409</v>
      </c>
      <c r="E731" s="9">
        <f t="shared" si="2"/>
        <v>1.7744474644479549</v>
      </c>
      <c r="F731" s="10">
        <v>45607</v>
      </c>
      <c r="H731">
        <f t="shared" si="3"/>
        <v>700.34229352123259</v>
      </c>
      <c r="I731" s="9">
        <f t="shared" si="4"/>
        <v>288.27717110487913</v>
      </c>
      <c r="J731" s="9">
        <f t="shared" si="5"/>
        <v>1112.4074159375859</v>
      </c>
    </row>
    <row r="732" spans="1:10" x14ac:dyDescent="0.2">
      <c r="A732" s="7">
        <v>45608</v>
      </c>
      <c r="C732">
        <f t="shared" si="0"/>
        <v>0.97496940329209403</v>
      </c>
      <c r="D732" s="9">
        <f t="shared" si="1"/>
        <v>0.17187417276055994</v>
      </c>
      <c r="E732" s="9">
        <f t="shared" si="2"/>
        <v>1.7780646338236281</v>
      </c>
      <c r="F732" s="10">
        <v>45608</v>
      </c>
      <c r="H732">
        <f t="shared" si="3"/>
        <v>700.38032613470318</v>
      </c>
      <c r="I732" s="9">
        <f t="shared" si="4"/>
        <v>285.02376735496046</v>
      </c>
      <c r="J732" s="9">
        <f t="shared" si="5"/>
        <v>1115.7368849144459</v>
      </c>
    </row>
    <row r="733" spans="1:10" x14ac:dyDescent="0.2">
      <c r="A733" s="7">
        <v>45609</v>
      </c>
      <c r="C733">
        <f t="shared" si="0"/>
        <v>0.97927353395045813</v>
      </c>
      <c r="D733" s="9">
        <f t="shared" si="1"/>
        <v>0.16977229207649402</v>
      </c>
      <c r="E733" s="9">
        <f t="shared" si="2"/>
        <v>1.7887747758244221</v>
      </c>
      <c r="F733" s="10">
        <v>45609</v>
      </c>
      <c r="H733">
        <f t="shared" si="3"/>
        <v>700.4183587481732</v>
      </c>
      <c r="I733" s="9">
        <f t="shared" si="4"/>
        <v>281.74787624929456</v>
      </c>
      <c r="J733" s="9">
        <f t="shared" si="5"/>
        <v>1119.0888412470517</v>
      </c>
    </row>
    <row r="734" spans="1:10" x14ac:dyDescent="0.2">
      <c r="A734" s="7">
        <v>45610</v>
      </c>
      <c r="C734">
        <f t="shared" si="0"/>
        <v>1.001160844381199</v>
      </c>
      <c r="D734" s="9">
        <f t="shared" si="1"/>
        <v>0.18521044959791844</v>
      </c>
      <c r="E734" s="9">
        <f t="shared" si="2"/>
        <v>1.8171112391644795</v>
      </c>
      <c r="F734" s="10">
        <v>45610</v>
      </c>
      <c r="H734">
        <f t="shared" si="3"/>
        <v>700.4563913616438</v>
      </c>
      <c r="I734" s="9">
        <f t="shared" si="4"/>
        <v>278.44967345264951</v>
      </c>
      <c r="J734" s="9">
        <f t="shared" si="5"/>
        <v>1122.4631092706381</v>
      </c>
    </row>
    <row r="735" spans="1:10" x14ac:dyDescent="0.2">
      <c r="A735" s="7">
        <v>45611</v>
      </c>
      <c r="C735">
        <f t="shared" si="0"/>
        <v>0.99792265094760024</v>
      </c>
      <c r="D735" s="9">
        <f t="shared" si="1"/>
        <v>0.17548029747294325</v>
      </c>
      <c r="E735" s="9">
        <f t="shared" si="2"/>
        <v>1.8203650044222572</v>
      </c>
      <c r="F735" s="10">
        <v>45611</v>
      </c>
      <c r="H735">
        <f t="shared" si="3"/>
        <v>700.49442397511382</v>
      </c>
      <c r="I735" s="9">
        <f t="shared" si="4"/>
        <v>275.12933264812472</v>
      </c>
      <c r="J735" s="9">
        <f t="shared" si="5"/>
        <v>1125.8595153021029</v>
      </c>
    </row>
    <row r="736" spans="1:10" x14ac:dyDescent="0.2">
      <c r="A736" s="7">
        <v>45612</v>
      </c>
      <c r="C736">
        <f t="shared" si="0"/>
        <v>0.99250209752983731</v>
      </c>
      <c r="D736" s="9">
        <f t="shared" si="1"/>
        <v>0.16352531151394156</v>
      </c>
      <c r="E736" s="9">
        <f t="shared" si="2"/>
        <v>1.821478883545733</v>
      </c>
      <c r="F736" s="10">
        <v>45612</v>
      </c>
      <c r="H736">
        <f t="shared" si="3"/>
        <v>700.53245658858441</v>
      </c>
      <c r="I736" s="9">
        <f t="shared" si="4"/>
        <v>271.78702552421987</v>
      </c>
      <c r="J736" s="9">
        <f t="shared" si="5"/>
        <v>1129.2778876529489</v>
      </c>
    </row>
    <row r="737" spans="1:10" x14ac:dyDescent="0.2">
      <c r="A737" s="7">
        <v>45613</v>
      </c>
      <c r="C737">
        <f t="shared" si="0"/>
        <v>0.9991261818768935</v>
      </c>
      <c r="D737" s="9">
        <f t="shared" si="1"/>
        <v>0.16357281752973463</v>
      </c>
      <c r="E737" s="9">
        <f t="shared" si="2"/>
        <v>1.8346795462240524</v>
      </c>
      <c r="F737" s="10">
        <v>45613</v>
      </c>
      <c r="H737">
        <f t="shared" si="3"/>
        <v>700.57048920205443</v>
      </c>
      <c r="I737" s="9">
        <f t="shared" si="4"/>
        <v>268.42292176471886</v>
      </c>
      <c r="J737" s="9">
        <f t="shared" si="5"/>
        <v>1132.7180566393899</v>
      </c>
    </row>
    <row r="738" spans="1:10" x14ac:dyDescent="0.2">
      <c r="A738" s="7">
        <v>45614</v>
      </c>
      <c r="C738">
        <f t="shared" si="0"/>
        <v>1.0012047236128134</v>
      </c>
      <c r="D738" s="9">
        <f t="shared" si="1"/>
        <v>0.15903295931725159</v>
      </c>
      <c r="E738" s="9">
        <f t="shared" si="2"/>
        <v>1.8433764879083752</v>
      </c>
      <c r="F738" s="10">
        <v>45614</v>
      </c>
      <c r="H738">
        <f t="shared" si="3"/>
        <v>700.60852181552502</v>
      </c>
      <c r="I738" s="9">
        <f t="shared" si="4"/>
        <v>265.03718904123764</v>
      </c>
      <c r="J738" s="9">
        <f t="shared" si="5"/>
        <v>1136.1798545898123</v>
      </c>
    </row>
    <row r="739" spans="1:10" x14ac:dyDescent="0.2">
      <c r="A739" s="7">
        <v>45615</v>
      </c>
      <c r="C739">
        <f t="shared" si="0"/>
        <v>0.97831712588611108</v>
      </c>
      <c r="D739" s="9">
        <f t="shared" si="1"/>
        <v>0.12939170304274017</v>
      </c>
      <c r="E739" s="9">
        <f t="shared" si="2"/>
        <v>1.8272425487294819</v>
      </c>
      <c r="F739" s="10">
        <v>45615</v>
      </c>
      <c r="H739">
        <f t="shared" si="3"/>
        <v>700.64655442899505</v>
      </c>
      <c r="I739" s="9">
        <f t="shared" si="4"/>
        <v>261.6299930082551</v>
      </c>
      <c r="J739" s="9">
        <f t="shared" si="5"/>
        <v>1139.663115849735</v>
      </c>
    </row>
    <row r="740" spans="1:10" x14ac:dyDescent="0.2">
      <c r="A740" s="7">
        <v>45616</v>
      </c>
      <c r="C740">
        <f t="shared" si="0"/>
        <v>0.97557176509850063</v>
      </c>
      <c r="D740" s="9">
        <f t="shared" si="1"/>
        <v>0.11994599028635022</v>
      </c>
      <c r="E740" s="9">
        <f t="shared" si="2"/>
        <v>1.831197539910651</v>
      </c>
      <c r="F740" s="10">
        <v>45616</v>
      </c>
      <c r="H740">
        <f t="shared" si="3"/>
        <v>700.68458704246564</v>
      </c>
      <c r="I740" s="9">
        <f t="shared" si="4"/>
        <v>258.20149730048968</v>
      </c>
      <c r="J740" s="9">
        <f t="shared" si="5"/>
        <v>1143.1676767844415</v>
      </c>
    </row>
    <row r="741" spans="1:10" x14ac:dyDescent="0.2">
      <c r="A741" s="7">
        <v>45617</v>
      </c>
      <c r="C741">
        <f t="shared" si="0"/>
        <v>0.97987589575686485</v>
      </c>
      <c r="D741" s="9">
        <f t="shared" si="1"/>
        <v>0.11750888944342053</v>
      </c>
      <c r="E741" s="9">
        <f t="shared" si="2"/>
        <v>1.8422429020703093</v>
      </c>
      <c r="F741" s="10">
        <v>45617</v>
      </c>
      <c r="H741">
        <f t="shared" si="3"/>
        <v>700.72261965593577</v>
      </c>
      <c r="I741" s="9">
        <f t="shared" si="4"/>
        <v>254.75186353245437</v>
      </c>
      <c r="J741" s="9">
        <f t="shared" si="5"/>
        <v>1146.6933757794172</v>
      </c>
    </row>
    <row r="742" spans="1:10" x14ac:dyDescent="0.2">
      <c r="A742" s="7">
        <v>45618</v>
      </c>
      <c r="C742">
        <f t="shared" si="0"/>
        <v>1.0017632061876058</v>
      </c>
      <c r="D742" s="9">
        <f t="shared" si="1"/>
        <v>0.13261439744017134</v>
      </c>
      <c r="E742" s="9">
        <f t="shared" si="2"/>
        <v>1.8709120149350404</v>
      </c>
      <c r="F742" s="10">
        <v>45618</v>
      </c>
      <c r="H742">
        <f t="shared" si="3"/>
        <v>700.76065226940625</v>
      </c>
      <c r="I742" s="9">
        <f t="shared" si="4"/>
        <v>251.28125130006504</v>
      </c>
      <c r="J742" s="9">
        <f t="shared" si="5"/>
        <v>1150.2400532387474</v>
      </c>
    </row>
    <row r="743" spans="1:10" x14ac:dyDescent="0.2">
      <c r="A743" s="7">
        <v>45619</v>
      </c>
      <c r="C743">
        <f t="shared" si="0"/>
        <v>0.99852501275400696</v>
      </c>
      <c r="D743" s="9">
        <f t="shared" si="1"/>
        <v>0.12255413534880444</v>
      </c>
      <c r="E743" s="9">
        <f t="shared" si="2"/>
        <v>1.8744958901592095</v>
      </c>
      <c r="F743" s="10">
        <v>45619</v>
      </c>
      <c r="H743">
        <f t="shared" si="3"/>
        <v>700.79868488287639</v>
      </c>
      <c r="I743" s="9">
        <f t="shared" si="4"/>
        <v>247.7898181841494</v>
      </c>
      <c r="J743" s="9">
        <f t="shared" si="5"/>
        <v>1153.8075515816033</v>
      </c>
    </row>
    <row r="744" spans="1:10" x14ac:dyDescent="0.2">
      <c r="A744" s="7">
        <v>45620</v>
      </c>
      <c r="C744">
        <f t="shared" si="0"/>
        <v>0.99310445933624403</v>
      </c>
      <c r="D744" s="9">
        <f t="shared" si="1"/>
        <v>0.11027154787745042</v>
      </c>
      <c r="E744" s="9">
        <f t="shared" si="2"/>
        <v>1.8759373707950378</v>
      </c>
      <c r="F744" s="10">
        <v>45620</v>
      </c>
      <c r="H744">
        <f t="shared" si="3"/>
        <v>700.83671749634686</v>
      </c>
      <c r="I744" s="9">
        <f t="shared" si="4"/>
        <v>244.27771975574143</v>
      </c>
      <c r="J744" s="9">
        <f t="shared" si="5"/>
        <v>1157.3957152369524</v>
      </c>
    </row>
    <row r="745" spans="1:10" x14ac:dyDescent="0.2">
      <c r="A745" s="7">
        <v>45621</v>
      </c>
      <c r="C745">
        <f t="shared" si="0"/>
        <v>0.99972854368330022</v>
      </c>
      <c r="D745" s="9">
        <f t="shared" si="1"/>
        <v>0.10999392973522848</v>
      </c>
      <c r="E745" s="9">
        <f t="shared" si="2"/>
        <v>1.8894631576313721</v>
      </c>
      <c r="F745" s="10">
        <v>45621</v>
      </c>
      <c r="H745">
        <f t="shared" si="3"/>
        <v>700.874750109817</v>
      </c>
      <c r="I745" s="9">
        <f t="shared" si="4"/>
        <v>240.74510958302318</v>
      </c>
      <c r="J745" s="9">
        <f t="shared" si="5"/>
        <v>1161.0043906366109</v>
      </c>
    </row>
    <row r="746" spans="1:10" x14ac:dyDescent="0.2">
      <c r="A746" s="7">
        <v>45622</v>
      </c>
      <c r="C746">
        <f t="shared" si="0"/>
        <v>1.00180708541922</v>
      </c>
      <c r="D746" s="9">
        <f t="shared" si="1"/>
        <v>0.10513139365462587</v>
      </c>
      <c r="E746" s="9">
        <f t="shared" si="2"/>
        <v>1.8984827771838142</v>
      </c>
      <c r="F746" s="10">
        <v>45622</v>
      </c>
      <c r="H746">
        <f t="shared" si="3"/>
        <v>700.91278272328748</v>
      </c>
      <c r="I746" s="9">
        <f t="shared" si="4"/>
        <v>237.19213923980942</v>
      </c>
      <c r="J746" s="9">
        <f t="shared" si="5"/>
        <v>1164.6334262067655</v>
      </c>
    </row>
    <row r="747" spans="1:10" x14ac:dyDescent="0.2">
      <c r="A747" s="7">
        <v>45623</v>
      </c>
      <c r="C747">
        <f t="shared" si="0"/>
        <v>0.9789194876925178</v>
      </c>
      <c r="D747" s="9">
        <f t="shared" si="1"/>
        <v>7.5170618412537138E-2</v>
      </c>
      <c r="E747" s="9">
        <f t="shared" si="2"/>
        <v>1.8826683569724985</v>
      </c>
      <c r="F747" s="10">
        <v>45623</v>
      </c>
      <c r="H747">
        <f t="shared" si="3"/>
        <v>700.95081533675761</v>
      </c>
      <c r="I747" s="9">
        <f t="shared" si="4"/>
        <v>233.61895831544928</v>
      </c>
      <c r="J747" s="9">
        <f t="shared" si="5"/>
        <v>1168.2826723580661</v>
      </c>
    </row>
    <row r="748" spans="1:10" x14ac:dyDescent="0.2">
      <c r="A748" s="7">
        <v>45624</v>
      </c>
      <c r="C748">
        <f t="shared" si="0"/>
        <v>0.97617412690490735</v>
      </c>
      <c r="D748" s="9">
        <f t="shared" si="1"/>
        <v>6.5407009992919818E-2</v>
      </c>
      <c r="E748" s="9">
        <f t="shared" si="2"/>
        <v>1.8869412438168949</v>
      </c>
      <c r="F748" s="10">
        <v>45624</v>
      </c>
      <c r="H748">
        <f t="shared" si="3"/>
        <v>700.98884795022821</v>
      </c>
      <c r="I748" s="9">
        <f t="shared" si="4"/>
        <v>230.02571442605046</v>
      </c>
      <c r="J748" s="9">
        <f t="shared" si="5"/>
        <v>1171.951981474406</v>
      </c>
    </row>
    <row r="749" spans="1:10" x14ac:dyDescent="0.2">
      <c r="A749" s="7">
        <v>45625</v>
      </c>
      <c r="C749">
        <f t="shared" si="0"/>
        <v>0.98047825756327156</v>
      </c>
      <c r="D749" s="9">
        <f t="shared" si="1"/>
        <v>6.2654366988957544E-2</v>
      </c>
      <c r="E749" s="9">
        <f t="shared" si="2"/>
        <v>1.8983021481375855</v>
      </c>
      <c r="F749" s="10">
        <v>45625</v>
      </c>
      <c r="H749">
        <f t="shared" si="3"/>
        <v>701.02688056369823</v>
      </c>
      <c r="I749" s="9">
        <f t="shared" si="4"/>
        <v>226.41255322691239</v>
      </c>
      <c r="J749" s="9">
        <f t="shared" si="5"/>
        <v>1175.641207900484</v>
      </c>
    </row>
    <row r="750" spans="1:10" x14ac:dyDescent="0.2">
      <c r="A750" s="7">
        <v>45626</v>
      </c>
      <c r="C750">
        <f t="shared" si="0"/>
        <v>1.0023655679940124</v>
      </c>
      <c r="D750" s="9">
        <f t="shared" si="1"/>
        <v>7.7446655689174859E-2</v>
      </c>
      <c r="E750" s="9">
        <f t="shared" si="2"/>
        <v>1.92728448029885</v>
      </c>
      <c r="F750" s="10">
        <v>45626</v>
      </c>
      <c r="H750">
        <f t="shared" si="3"/>
        <v>701.06491317716882</v>
      </c>
      <c r="I750" s="9">
        <f t="shared" si="4"/>
        <v>222.77961842608499</v>
      </c>
      <c r="J750" s="9">
        <f t="shared" si="5"/>
        <v>1179.3502079282525</v>
      </c>
    </row>
    <row r="751" spans="1:10" x14ac:dyDescent="0.2">
      <c r="A751" s="7">
        <v>45627</v>
      </c>
      <c r="C751">
        <f t="shared" si="0"/>
        <v>0.99912737456041367</v>
      </c>
      <c r="D751" s="9">
        <f t="shared" si="1"/>
        <v>6.7075466686885354E-2</v>
      </c>
      <c r="E751" s="9">
        <f t="shared" si="2"/>
        <v>1.931179282433942</v>
      </c>
      <c r="F751" s="10">
        <v>45627</v>
      </c>
      <c r="H751">
        <f t="shared" si="3"/>
        <v>701.10294579063884</v>
      </c>
      <c r="I751" s="9">
        <f t="shared" si="4"/>
        <v>219.12705179894556</v>
      </c>
      <c r="J751" s="9">
        <f t="shared" si="5"/>
        <v>1183.0788397823321</v>
      </c>
    </row>
    <row r="752" spans="1:10" x14ac:dyDescent="0.2">
      <c r="A752" s="7">
        <v>45628</v>
      </c>
      <c r="C752">
        <f t="shared" si="0"/>
        <v>0.99370682114265074</v>
      </c>
      <c r="D752" s="9">
        <f t="shared" si="1"/>
        <v>5.4484214389883934E-2</v>
      </c>
      <c r="E752" s="9">
        <f t="shared" si="2"/>
        <v>1.9329294278954174</v>
      </c>
      <c r="F752" s="10">
        <v>45628</v>
      </c>
      <c r="H752">
        <f t="shared" si="3"/>
        <v>701.14097840410943</v>
      </c>
      <c r="I752" s="9">
        <f t="shared" si="4"/>
        <v>215.45499320372585</v>
      </c>
      <c r="J752" s="9">
        <f t="shared" si="5"/>
        <v>1186.8269636044929</v>
      </c>
    </row>
    <row r="753" spans="1:10" x14ac:dyDescent="0.2">
      <c r="A753" s="7">
        <v>45629</v>
      </c>
      <c r="C753">
        <f t="shared" si="0"/>
        <v>1.0003309054897069</v>
      </c>
      <c r="D753" s="9">
        <f t="shared" si="1"/>
        <v>5.3900163403721502E-2</v>
      </c>
      <c r="E753" s="9">
        <f t="shared" si="2"/>
        <v>1.9467616475756924</v>
      </c>
      <c r="F753" s="10">
        <v>45629</v>
      </c>
      <c r="H753">
        <f t="shared" si="3"/>
        <v>701.17901101757946</v>
      </c>
      <c r="I753" s="9">
        <f t="shared" si="4"/>
        <v>211.76358059788788</v>
      </c>
      <c r="J753" s="9">
        <f t="shared" si="5"/>
        <v>1190.5944414372711</v>
      </c>
    </row>
    <row r="754" spans="1:10" x14ac:dyDescent="0.2">
      <c r="A754" s="7">
        <v>45630</v>
      </c>
      <c r="C754">
        <f t="shared" si="0"/>
        <v>1.0024094472256269</v>
      </c>
      <c r="D754" s="9">
        <f t="shared" si="1"/>
        <v>4.8733396570838639E-2</v>
      </c>
      <c r="E754" s="9">
        <f t="shared" si="2"/>
        <v>1.956085497880415</v>
      </c>
      <c r="F754" s="10">
        <v>45630</v>
      </c>
      <c r="H754">
        <f t="shared" si="3"/>
        <v>701.21704363105005</v>
      </c>
      <c r="I754" s="9">
        <f t="shared" si="4"/>
        <v>208.05295005528984</v>
      </c>
      <c r="J754" s="9">
        <f t="shared" si="5"/>
        <v>1194.3811372068103</v>
      </c>
    </row>
    <row r="755" spans="1:10" x14ac:dyDescent="0.2">
      <c r="A755" s="7">
        <v>45631</v>
      </c>
      <c r="C755">
        <f t="shared" si="0"/>
        <v>0.97952184949892451</v>
      </c>
      <c r="D755" s="9">
        <f t="shared" si="1"/>
        <v>1.8471459711985383E-2</v>
      </c>
      <c r="E755" s="9">
        <f t="shared" si="2"/>
        <v>1.9405722392858635</v>
      </c>
      <c r="F755" s="10">
        <v>45631</v>
      </c>
      <c r="H755">
        <f t="shared" si="3"/>
        <v>701.25507624452007</v>
      </c>
      <c r="I755" s="9">
        <f t="shared" si="4"/>
        <v>204.32323578405004</v>
      </c>
      <c r="J755" s="9">
        <f t="shared" si="5"/>
        <v>1198.1869167049902</v>
      </c>
    </row>
    <row r="756" spans="1:10" x14ac:dyDescent="0.2">
      <c r="A756" s="7">
        <v>45632</v>
      </c>
      <c r="C756">
        <f t="shared" si="0"/>
        <v>0.97677648871131406</v>
      </c>
      <c r="D756" s="9">
        <f t="shared" si="1"/>
        <v>8.4079153743116253E-3</v>
      </c>
      <c r="E756" s="9">
        <f t="shared" si="2"/>
        <v>1.9451450620483164</v>
      </c>
      <c r="F756" s="10">
        <v>45632</v>
      </c>
      <c r="H756">
        <f t="shared" si="3"/>
        <v>701.29310885799066</v>
      </c>
      <c r="I756" s="9">
        <f t="shared" si="4"/>
        <v>200.57457014505923</v>
      </c>
      <c r="J756" s="9">
        <f t="shared" si="5"/>
        <v>1202.0116475709222</v>
      </c>
    </row>
    <row r="757" spans="1:10" x14ac:dyDescent="0.2">
      <c r="A757" s="7">
        <v>45633</v>
      </c>
      <c r="C757">
        <f t="shared" si="0"/>
        <v>0.98108061936967828</v>
      </c>
      <c r="D757" s="9">
        <f t="shared" si="1"/>
        <v>5.3574503628305292E-3</v>
      </c>
      <c r="E757" s="9">
        <f t="shared" si="2"/>
        <v>1.9568037883765261</v>
      </c>
      <c r="F757" s="10">
        <v>45633</v>
      </c>
      <c r="H757">
        <f t="shared" si="3"/>
        <v>701.3311414714608</v>
      </c>
      <c r="I757" s="9">
        <f t="shared" si="4"/>
        <v>196.80708367105569</v>
      </c>
      <c r="J757" s="9">
        <f t="shared" si="5"/>
        <v>1205.8551992718658</v>
      </c>
    </row>
    <row r="758" spans="1:10" x14ac:dyDescent="0.2">
      <c r="A758" s="7">
        <v>45634</v>
      </c>
      <c r="C758">
        <f t="shared" si="0"/>
        <v>1.0029679298004193</v>
      </c>
      <c r="D758" s="9">
        <f t="shared" si="1"/>
        <v>1.9854002083173561E-2</v>
      </c>
      <c r="E758" s="9">
        <f t="shared" si="2"/>
        <v>1.9860818575176649</v>
      </c>
      <c r="F758" s="10">
        <v>45634</v>
      </c>
      <c r="H758">
        <f t="shared" si="3"/>
        <v>701.36917408493127</v>
      </c>
      <c r="I758" s="9">
        <f t="shared" si="4"/>
        <v>193.02090508622194</v>
      </c>
      <c r="J758" s="9">
        <f t="shared" si="5"/>
        <v>1209.7174430836405</v>
      </c>
    </row>
    <row r="759" spans="1:10" x14ac:dyDescent="0.2">
      <c r="A759" s="7">
        <v>45635</v>
      </c>
      <c r="C759">
        <f t="shared" si="0"/>
        <v>0.99972973636682028</v>
      </c>
      <c r="D759" s="9">
        <f t="shared" si="1"/>
        <v>9.1891325230075704E-3</v>
      </c>
      <c r="E759" s="9">
        <f t="shared" si="2"/>
        <v>1.990270340210633</v>
      </c>
      <c r="F759" s="10">
        <v>45635</v>
      </c>
      <c r="H759">
        <f t="shared" si="3"/>
        <v>701.40720669840141</v>
      </c>
      <c r="I759" s="9">
        <f t="shared" si="4"/>
        <v>189.21616132622626</v>
      </c>
      <c r="J759" s="9">
        <f t="shared" si="5"/>
        <v>1213.5982520705766</v>
      </c>
    </row>
    <row r="760" spans="1:10" x14ac:dyDescent="0.2">
      <c r="A760" s="7">
        <v>45636</v>
      </c>
      <c r="C760">
        <f t="shared" si="0"/>
        <v>0.99430918294905735</v>
      </c>
      <c r="D760" s="9">
        <f t="shared" si="1"/>
        <v>-3.6937722287329056E-3</v>
      </c>
      <c r="E760" s="9">
        <f t="shared" si="2"/>
        <v>1.9923121381268476</v>
      </c>
      <c r="F760" s="10">
        <v>45636</v>
      </c>
      <c r="H760">
        <f t="shared" si="3"/>
        <v>701.44523931187189</v>
      </c>
      <c r="I760" s="9">
        <f t="shared" si="4"/>
        <v>185.3929775586713</v>
      </c>
      <c r="J760" s="9">
        <f t="shared" si="5"/>
        <v>1217.4975010650724</v>
      </c>
    </row>
    <row r="761" spans="1:10" x14ac:dyDescent="0.2">
      <c r="A761" s="7">
        <v>45637</v>
      </c>
      <c r="C761">
        <f t="shared" si="0"/>
        <v>1.0009332672961135</v>
      </c>
      <c r="D761" s="9">
        <f t="shared" si="1"/>
        <v>-4.5674755900222408E-3</v>
      </c>
      <c r="E761" s="9">
        <f t="shared" si="2"/>
        <v>2.0064340101822493</v>
      </c>
      <c r="F761" s="10">
        <v>45637</v>
      </c>
      <c r="H761">
        <f t="shared" si="3"/>
        <v>701.48327192534202</v>
      </c>
      <c r="I761" s="9">
        <f t="shared" si="4"/>
        <v>181.55147720388447</v>
      </c>
      <c r="J761" s="9">
        <f t="shared" si="5"/>
        <v>1221.4150666467995</v>
      </c>
    </row>
    <row r="762" spans="1:10" x14ac:dyDescent="0.2">
      <c r="A762" s="7">
        <v>45638</v>
      </c>
      <c r="C762">
        <f t="shared" si="0"/>
        <v>1.0030118090320335</v>
      </c>
      <c r="D762" s="9">
        <f t="shared" si="1"/>
        <v>-1.002192243898814E-2</v>
      </c>
      <c r="E762" s="9">
        <f t="shared" si="2"/>
        <v>2.0160455405030548</v>
      </c>
      <c r="F762" s="10">
        <v>45638</v>
      </c>
      <c r="H762">
        <f t="shared" si="3"/>
        <v>701.5213045388125</v>
      </c>
      <c r="I762" s="9">
        <f t="shared" si="4"/>
        <v>177.69178195601376</v>
      </c>
      <c r="J762" s="9">
        <f t="shared" si="5"/>
        <v>1225.3508271216112</v>
      </c>
    </row>
    <row r="763" spans="1:10" x14ac:dyDescent="0.2">
      <c r="A763" s="7">
        <v>45639</v>
      </c>
      <c r="C763">
        <f t="shared" si="0"/>
        <v>0.98012421130533123</v>
      </c>
      <c r="D763" s="9">
        <f t="shared" si="1"/>
        <v>-4.0568589126096288E-2</v>
      </c>
      <c r="E763" s="9">
        <f t="shared" si="2"/>
        <v>2.0008170117367587</v>
      </c>
      <c r="F763" s="10">
        <v>45639</v>
      </c>
      <c r="H763">
        <f t="shared" si="3"/>
        <v>701.55933715228264</v>
      </c>
      <c r="I763" s="9">
        <f t="shared" si="4"/>
        <v>173.81401180437433</v>
      </c>
      <c r="J763" s="9">
        <f t="shared" si="5"/>
        <v>1229.3046625001909</v>
      </c>
    </row>
    <row r="764" spans="1:10" x14ac:dyDescent="0.2">
      <c r="A764" s="7">
        <v>45640</v>
      </c>
      <c r="C764">
        <f t="shared" si="0"/>
        <v>0.97737885051772078</v>
      </c>
      <c r="D764" s="9">
        <f t="shared" si="1"/>
        <v>-5.0915973259486158E-2</v>
      </c>
      <c r="E764" s="9">
        <f t="shared" si="2"/>
        <v>2.0056736742949277</v>
      </c>
      <c r="F764" s="10">
        <v>45640</v>
      </c>
      <c r="H764">
        <f t="shared" si="3"/>
        <v>701.59736976575311</v>
      </c>
      <c r="I764" s="9">
        <f t="shared" si="4"/>
        <v>169.91828505501212</v>
      </c>
      <c r="J764" s="9">
        <f t="shared" si="5"/>
        <v>1233.2764544764941</v>
      </c>
    </row>
    <row r="765" spans="1:10" x14ac:dyDescent="0.2">
      <c r="A765" s="7">
        <v>45641</v>
      </c>
      <c r="C765">
        <f t="shared" si="0"/>
        <v>0.98168298117608499</v>
      </c>
      <c r="D765" s="9">
        <f t="shared" si="1"/>
        <v>-5.4248386825578754E-2</v>
      </c>
      <c r="E765" s="9">
        <f t="shared" si="2"/>
        <v>2.017614349177749</v>
      </c>
      <c r="F765" s="10">
        <v>45641</v>
      </c>
      <c r="H765">
        <f t="shared" si="3"/>
        <v>701.63540237922325</v>
      </c>
      <c r="I765" s="9">
        <f t="shared" si="4"/>
        <v>166.00471835243673</v>
      </c>
      <c r="J765" s="9">
        <f t="shared" si="5"/>
        <v>1237.2660864060099</v>
      </c>
    </row>
    <row r="766" spans="1:10" x14ac:dyDescent="0.2">
      <c r="A766" s="7">
        <v>45642</v>
      </c>
      <c r="C766">
        <f t="shared" si="0"/>
        <v>1.0035702916068259</v>
      </c>
      <c r="D766" s="9">
        <f t="shared" si="1"/>
        <v>-4.0031918860785387E-2</v>
      </c>
      <c r="E766" s="9">
        <f t="shared" si="2"/>
        <v>2.0471725020744369</v>
      </c>
      <c r="F766" s="10">
        <v>45642</v>
      </c>
      <c r="H766">
        <f t="shared" si="3"/>
        <v>701.67343499269384</v>
      </c>
      <c r="I766" s="9">
        <f t="shared" si="4"/>
        <v>162.07342670149671</v>
      </c>
      <c r="J766" s="9">
        <f t="shared" si="5"/>
        <v>1241.2734432838911</v>
      </c>
    </row>
    <row r="767" spans="1:10" x14ac:dyDescent="0.2">
      <c r="A767" s="7">
        <v>45643</v>
      </c>
      <c r="C767">
        <f t="shared" si="0"/>
        <v>1.0003320981732271</v>
      </c>
      <c r="D767" s="9">
        <f t="shared" si="1"/>
        <v>-5.0975033491057031E-2</v>
      </c>
      <c r="E767" s="9">
        <f t="shared" si="2"/>
        <v>2.0516392298375115</v>
      </c>
      <c r="F767" s="10">
        <v>45643</v>
      </c>
      <c r="H767">
        <f t="shared" si="3"/>
        <v>701.71146760616386</v>
      </c>
      <c r="I767" s="9">
        <f t="shared" si="4"/>
        <v>158.12452348934937</v>
      </c>
      <c r="J767" s="9">
        <f t="shared" si="5"/>
        <v>1245.2984117229785</v>
      </c>
    </row>
    <row r="768" spans="1:10" x14ac:dyDescent="0.2">
      <c r="A768" s="7">
        <v>45644</v>
      </c>
      <c r="C768">
        <f t="shared" si="0"/>
        <v>0.99491154475546406</v>
      </c>
      <c r="D768" s="9">
        <f t="shared" si="1"/>
        <v>-6.4134370409515973E-2</v>
      </c>
      <c r="E768" s="9">
        <f t="shared" si="2"/>
        <v>2.053957459920444</v>
      </c>
      <c r="F768" s="10">
        <v>45644</v>
      </c>
      <c r="H768">
        <f t="shared" si="3"/>
        <v>701.74950021963446</v>
      </c>
      <c r="I768" s="9">
        <f t="shared" si="4"/>
        <v>154.15812050750935</v>
      </c>
      <c r="J768" s="9">
        <f t="shared" si="5"/>
        <v>1249.3408799317594</v>
      </c>
    </row>
    <row r="769" spans="1:10" x14ac:dyDescent="0.2">
      <c r="A769" s="7">
        <v>45645</v>
      </c>
      <c r="C769">
        <f t="shared" si="0"/>
        <v>1.0015356291025204</v>
      </c>
      <c r="D769" s="9">
        <f t="shared" si="1"/>
        <v>-6.5282718482086777E-2</v>
      </c>
      <c r="E769" s="9">
        <f t="shared" si="2"/>
        <v>2.0683539766871277</v>
      </c>
      <c r="F769" s="10">
        <v>45645</v>
      </c>
      <c r="H769">
        <f t="shared" si="3"/>
        <v>701.78753283310448</v>
      </c>
      <c r="I769" s="9">
        <f t="shared" si="4"/>
        <v>150.17432797392871</v>
      </c>
      <c r="J769" s="9">
        <f t="shared" si="5"/>
        <v>1253.4007376922802</v>
      </c>
    </row>
    <row r="770" spans="1:10" x14ac:dyDescent="0.2">
      <c r="A770" s="7">
        <v>45646</v>
      </c>
      <c r="C770">
        <f t="shared" si="0"/>
        <v>1.0036141708384403</v>
      </c>
      <c r="D770" s="9">
        <f t="shared" si="1"/>
        <v>-7.1010047698755629E-2</v>
      </c>
      <c r="E770" s="9">
        <f t="shared" si="2"/>
        <v>2.0782383893756364</v>
      </c>
      <c r="F770" s="10">
        <v>45646</v>
      </c>
      <c r="H770">
        <f t="shared" si="3"/>
        <v>701.82556544657507</v>
      </c>
      <c r="I770" s="9">
        <f t="shared" si="4"/>
        <v>146.1732545550982</v>
      </c>
      <c r="J770" s="9">
        <f t="shared" si="5"/>
        <v>1257.4778763380518</v>
      </c>
    </row>
    <row r="771" spans="1:10" x14ac:dyDescent="0.2">
      <c r="A771" s="7">
        <v>45647</v>
      </c>
      <c r="C771">
        <f t="shared" si="0"/>
        <v>0.98072657311173794</v>
      </c>
      <c r="D771" s="9">
        <f t="shared" si="1"/>
        <v>-0.10182678007784529</v>
      </c>
      <c r="E771" s="9">
        <f t="shared" si="2"/>
        <v>2.0632799263013211</v>
      </c>
      <c r="F771" s="10">
        <v>45647</v>
      </c>
      <c r="H771">
        <f t="shared" si="3"/>
        <v>701.86359806004509</v>
      </c>
      <c r="I771" s="9">
        <f t="shared" si="4"/>
        <v>142.15500738812557</v>
      </c>
      <c r="J771" s="9">
        <f t="shared" si="5"/>
        <v>1261.5721887319646</v>
      </c>
    </row>
    <row r="772" spans="1:10" x14ac:dyDescent="0.2">
      <c r="A772" s="7">
        <v>45648</v>
      </c>
      <c r="C772">
        <f t="shared" si="0"/>
        <v>0.97798121232412749</v>
      </c>
      <c r="D772" s="9">
        <f t="shared" si="1"/>
        <v>-0.11244361953607063</v>
      </c>
      <c r="E772" s="9">
        <f t="shared" si="2"/>
        <v>2.0684060441843255</v>
      </c>
      <c r="F772" s="10">
        <v>45648</v>
      </c>
      <c r="H772">
        <f t="shared" si="3"/>
        <v>701.90163067351568</v>
      </c>
      <c r="I772" s="9">
        <f t="shared" si="4"/>
        <v>138.11969210278676</v>
      </c>
      <c r="J772" s="9">
        <f t="shared" si="5"/>
        <v>1265.6835692442446</v>
      </c>
    </row>
    <row r="773" spans="1:10" x14ac:dyDescent="0.2">
      <c r="A773" s="7">
        <v>45649</v>
      </c>
      <c r="C773">
        <f t="shared" si="0"/>
        <v>0.98228534298249159</v>
      </c>
      <c r="D773" s="9">
        <f t="shared" si="1"/>
        <v>-0.11604379915863849</v>
      </c>
      <c r="E773" s="9">
        <f t="shared" si="2"/>
        <v>2.0806144851236219</v>
      </c>
      <c r="F773" s="10">
        <v>45649</v>
      </c>
      <c r="H773">
        <f t="shared" si="3"/>
        <v>701.93966328698571</v>
      </c>
      <c r="I773" s="9">
        <f t="shared" si="4"/>
        <v>134.06741284350562</v>
      </c>
      <c r="J773" s="9">
        <f t="shared" si="5"/>
        <v>1269.8119137304657</v>
      </c>
    </row>
    <row r="774" spans="1:10" x14ac:dyDescent="0.2">
      <c r="A774" s="7">
        <v>45650</v>
      </c>
      <c r="C774">
        <f t="shared" si="0"/>
        <v>1.0041726534132325</v>
      </c>
      <c r="D774" s="9">
        <f t="shared" si="1"/>
        <v>-0.10209343173596297</v>
      </c>
      <c r="E774" s="9">
        <f t="shared" si="2"/>
        <v>2.1104387385624279</v>
      </c>
      <c r="F774" s="10">
        <v>45650</v>
      </c>
      <c r="H774">
        <f t="shared" si="3"/>
        <v>701.9776959004563</v>
      </c>
      <c r="I774" s="9">
        <f t="shared" si="4"/>
        <v>129.99827229126618</v>
      </c>
      <c r="J774" s="9">
        <f t="shared" si="5"/>
        <v>1273.9571195096464</v>
      </c>
    </row>
    <row r="775" spans="1:10" x14ac:dyDescent="0.2">
      <c r="A775" s="7">
        <v>45651</v>
      </c>
      <c r="C775">
        <f t="shared" si="0"/>
        <v>1.0009344599796337</v>
      </c>
      <c r="D775" s="9">
        <f t="shared" si="1"/>
        <v>-0.11330100480949379</v>
      </c>
      <c r="E775" s="9">
        <f t="shared" si="2"/>
        <v>2.115169924768761</v>
      </c>
      <c r="F775" s="10">
        <v>45651</v>
      </c>
      <c r="H775">
        <f t="shared" si="3"/>
        <v>702.01572851392643</v>
      </c>
      <c r="I775" s="9">
        <f t="shared" si="4"/>
        <v>125.91237168541375</v>
      </c>
      <c r="J775" s="9">
        <f t="shared" si="5"/>
        <v>1278.1190853424391</v>
      </c>
    </row>
    <row r="776" spans="1:10" x14ac:dyDescent="0.2">
      <c r="A776" s="7">
        <v>45652</v>
      </c>
      <c r="C776">
        <f t="shared" si="0"/>
        <v>0.99551390656187078</v>
      </c>
      <c r="D776" s="9">
        <f t="shared" si="1"/>
        <v>-0.12672318114996695</v>
      </c>
      <c r="E776" s="9">
        <f t="shared" si="2"/>
        <v>2.1177509942737087</v>
      </c>
      <c r="F776" s="10">
        <v>45652</v>
      </c>
      <c r="H776">
        <f t="shared" si="3"/>
        <v>702.05376112739691</v>
      </c>
      <c r="I776" s="9">
        <f t="shared" si="4"/>
        <v>121.80981084534938</v>
      </c>
      <c r="J776" s="9">
        <f t="shared" si="5"/>
        <v>1282.2977114094444</v>
      </c>
    </row>
    <row r="777" spans="1:10" x14ac:dyDescent="0.2">
      <c r="A777" s="7">
        <v>45653</v>
      </c>
      <c r="C777">
        <f t="shared" si="0"/>
        <v>1.002137990908927</v>
      </c>
      <c r="D777" s="9">
        <f t="shared" si="1"/>
        <v>-0.12813277236400267</v>
      </c>
      <c r="E777" s="9">
        <f t="shared" si="2"/>
        <v>2.1324087541818564</v>
      </c>
      <c r="F777" s="10">
        <v>45653</v>
      </c>
      <c r="H777">
        <f t="shared" si="3"/>
        <v>702.09179374086705</v>
      </c>
      <c r="I777" s="9">
        <f t="shared" si="4"/>
        <v>117.69068819208348</v>
      </c>
      <c r="J777" s="9">
        <f t="shared" si="5"/>
        <v>1286.4928992896507</v>
      </c>
    </row>
    <row r="778" spans="1:10" x14ac:dyDescent="0.2">
      <c r="A778" s="7">
        <v>45654</v>
      </c>
      <c r="C778">
        <f t="shared" si="0"/>
        <v>1.0042165326448469</v>
      </c>
      <c r="D778" s="9">
        <f t="shared" si="1"/>
        <v>-0.1341197708466324</v>
      </c>
      <c r="E778" s="9">
        <f t="shared" si="2"/>
        <v>2.1425528361363262</v>
      </c>
      <c r="F778" s="10">
        <v>45654</v>
      </c>
      <c r="H778">
        <f t="shared" si="3"/>
        <v>702.12982635433752</v>
      </c>
      <c r="I778" s="9">
        <f t="shared" si="4"/>
        <v>113.55510076964902</v>
      </c>
      <c r="J778" s="9">
        <f t="shared" si="5"/>
        <v>1290.704551939026</v>
      </c>
    </row>
    <row r="779" spans="1:10" x14ac:dyDescent="0.2">
      <c r="A779" s="7">
        <v>45655</v>
      </c>
      <c r="C779">
        <f t="shared" si="0"/>
        <v>0.98132893491814466</v>
      </c>
      <c r="D779" s="9">
        <f t="shared" si="1"/>
        <v>-0.16519349443350584</v>
      </c>
      <c r="E779" s="9">
        <f t="shared" si="2"/>
        <v>2.1278513642697954</v>
      </c>
      <c r="F779" s="10">
        <v>45655</v>
      </c>
      <c r="H779">
        <f t="shared" si="3"/>
        <v>702.16785896780766</v>
      </c>
      <c r="I779" s="9">
        <f t="shared" si="4"/>
        <v>109.40314426634802</v>
      </c>
      <c r="J779" s="9">
        <f t="shared" si="5"/>
        <v>1294.9325736692672</v>
      </c>
    </row>
    <row r="780" spans="1:10" x14ac:dyDescent="0.2">
      <c r="A780" s="7">
        <v>45656</v>
      </c>
      <c r="C780">
        <f t="shared" si="0"/>
        <v>0.9785835741305341</v>
      </c>
      <c r="D780" s="9">
        <f t="shared" si="1"/>
        <v>-0.17606694536277823</v>
      </c>
      <c r="E780" s="9">
        <f t="shared" si="2"/>
        <v>2.1332340936238463</v>
      </c>
      <c r="F780" s="10">
        <v>45656</v>
      </c>
      <c r="H780">
        <f t="shared" si="3"/>
        <v>702.20589158127814</v>
      </c>
      <c r="I780" s="9">
        <f t="shared" si="4"/>
        <v>105.23491303583</v>
      </c>
      <c r="J780" s="9">
        <f t="shared" si="5"/>
        <v>1299.1768701267263</v>
      </c>
    </row>
    <row r="781" spans="1:10" x14ac:dyDescent="0.2">
      <c r="A781" s="7">
        <v>45657</v>
      </c>
      <c r="C781">
        <f t="shared" si="0"/>
        <v>0.98288770478889831</v>
      </c>
      <c r="D781" s="9">
        <f t="shared" si="1"/>
        <v>-0.17992222752385179</v>
      </c>
      <c r="E781" s="9">
        <f t="shared" si="2"/>
        <v>2.1456976371016485</v>
      </c>
      <c r="F781" s="10">
        <v>45657</v>
      </c>
      <c r="H781">
        <f t="shared" si="3"/>
        <v>702.24392419474827</v>
      </c>
      <c r="I781" s="9">
        <f t="shared" si="4"/>
        <v>101.05050011798096</v>
      </c>
      <c r="J781" s="9">
        <f t="shared" si="5"/>
        <v>1303.4373482715155</v>
      </c>
    </row>
    <row r="782" spans="1:10" x14ac:dyDescent="0.2">
      <c r="A782" s="7">
        <v>45658</v>
      </c>
      <c r="C782">
        <f t="shared" si="0"/>
        <v>1.0047750152196393</v>
      </c>
      <c r="D782" s="9">
        <f t="shared" si="1"/>
        <v>-0.16622547478681704</v>
      </c>
      <c r="E782" s="9">
        <f t="shared" si="2"/>
        <v>2.1757755052260954</v>
      </c>
      <c r="F782" s="10">
        <v>45658</v>
      </c>
      <c r="H782">
        <f t="shared" si="3"/>
        <v>702.28195680821887</v>
      </c>
      <c r="I782" s="9">
        <f t="shared" si="4"/>
        <v>96.849997259624047</v>
      </c>
      <c r="J782" s="9">
        <f t="shared" si="5"/>
        <v>1307.7139163568136</v>
      </c>
    </row>
    <row r="783" spans="1:10" x14ac:dyDescent="0.2">
      <c r="A783" s="7">
        <v>45659</v>
      </c>
      <c r="C783">
        <f t="shared" si="0"/>
        <v>1.0015368217860405</v>
      </c>
      <c r="D783" s="9">
        <f t="shared" si="1"/>
        <v>-0.17768519544762751</v>
      </c>
      <c r="E783" s="9">
        <f t="shared" si="2"/>
        <v>2.1807588390197088</v>
      </c>
      <c r="F783" s="10">
        <v>45659</v>
      </c>
      <c r="H783">
        <f t="shared" si="3"/>
        <v>702.31998942168889</v>
      </c>
      <c r="I783" s="9">
        <f t="shared" si="4"/>
        <v>92.63349493500948</v>
      </c>
      <c r="J783" s="9">
        <f t="shared" si="5"/>
        <v>1312.0064839083684</v>
      </c>
    </row>
    <row r="784" spans="1:10" x14ac:dyDescent="0.2">
      <c r="A784" s="7">
        <v>45660</v>
      </c>
      <c r="C784">
        <f t="shared" si="0"/>
        <v>0.99611626836827749</v>
      </c>
      <c r="D784" s="9">
        <f t="shared" si="1"/>
        <v>-0.19135807270901706</v>
      </c>
      <c r="E784" s="9">
        <f t="shared" si="2"/>
        <v>2.1835906094455719</v>
      </c>
      <c r="F784" s="10">
        <v>45660</v>
      </c>
      <c r="H784">
        <f t="shared" si="3"/>
        <v>702.35802203515948</v>
      </c>
      <c r="I784" s="9">
        <f t="shared" si="4"/>
        <v>88.401082366100923</v>
      </c>
      <c r="J784" s="9">
        <f t="shared" si="5"/>
        <v>1316.3149617042181</v>
      </c>
    </row>
    <row r="785" spans="1:10" x14ac:dyDescent="0.2">
      <c r="A785" s="7">
        <v>45661</v>
      </c>
      <c r="C785">
        <f t="shared" si="0"/>
        <v>1.0027403527153338</v>
      </c>
      <c r="D785" s="9">
        <f t="shared" si="1"/>
        <v>-0.19301693828992361</v>
      </c>
      <c r="E785" s="9">
        <f t="shared" si="2"/>
        <v>2.1984976437205912</v>
      </c>
      <c r="F785" s="10">
        <v>45661</v>
      </c>
      <c r="H785">
        <f t="shared" si="3"/>
        <v>702.3960546486295</v>
      </c>
      <c r="I785" s="9">
        <f t="shared" si="4"/>
        <v>84.152847542633822</v>
      </c>
      <c r="J785" s="9">
        <f t="shared" si="5"/>
        <v>1320.6392617546253</v>
      </c>
    </row>
    <row r="786" spans="1:10" x14ac:dyDescent="0.2">
      <c r="A786" s="7">
        <v>45662</v>
      </c>
      <c r="C786">
        <f t="shared" si="0"/>
        <v>1.0048188944512535</v>
      </c>
      <c r="D786" s="9">
        <f t="shared" si="1"/>
        <v>-0.19925180438100454</v>
      </c>
      <c r="E786" s="9">
        <f t="shared" si="2"/>
        <v>2.2088895932835113</v>
      </c>
      <c r="F786" s="10">
        <v>45662</v>
      </c>
      <c r="H786">
        <f t="shared" si="3"/>
        <v>702.43408726210009</v>
      </c>
      <c r="I786" s="9">
        <f t="shared" si="4"/>
        <v>79.888877241956948</v>
      </c>
      <c r="J786" s="9">
        <f t="shared" si="5"/>
        <v>1324.9792972822434</v>
      </c>
    </row>
    <row r="787" spans="1:10" x14ac:dyDescent="0.2">
      <c r="A787" s="7">
        <v>45663</v>
      </c>
      <c r="C787">
        <f t="shared" ref="C787:C850" si="6">_xlfn.FORECAST.ETS(A787,$B$2:$B$722,$A$2:$A$722,1,1)</f>
        <v>0.98193129672455126</v>
      </c>
      <c r="D787" s="9">
        <f t="shared" ref="D787:D850" si="7">C787-_xlfn.FORECAST.ETS.CONFINT(A787,$B$2:$B$722,$A$2:$A$722,0.95,1,1)</f>
        <v>-0.23057085532061161</v>
      </c>
      <c r="E787" s="9">
        <f t="shared" ref="E787:E850" si="8">C787+_xlfn.FORECAST.ETS.CONFINT(A787,$B$2:$B$722,$A$2:$A$722,0.95,1,1)</f>
        <v>2.1944334487697139</v>
      </c>
      <c r="F787" s="10">
        <v>45663</v>
      </c>
      <c r="H787">
        <f t="shared" ref="H787:H850" si="9">_xlfn.FORECAST.ETS(F787,$G$2:$G$722,$F$2:$F$722,1,1)</f>
        <v>702.47211987557012</v>
      </c>
      <c r="I787" s="9">
        <f t="shared" ref="I787:I850" si="10">H787-_xlfn.FORECAST.ETS.CONFINT(F787,$G$2:$G$722,$F$2:$F$722,0.95,1,1)</f>
        <v>75.609257048633935</v>
      </c>
      <c r="J787" s="9">
        <f t="shared" ref="J787:J850" si="11">H787+_xlfn.FORECAST.ETS.CONFINT(F787,$G$2:$G$722,$F$2:$F$722,0.95,1,1)</f>
        <v>1329.3349827025063</v>
      </c>
    </row>
    <row r="788" spans="1:10" x14ac:dyDescent="0.2">
      <c r="A788" s="7">
        <v>45664</v>
      </c>
      <c r="C788">
        <f t="shared" si="6"/>
        <v>0.97918593593694081</v>
      </c>
      <c r="D788" s="9">
        <f t="shared" si="7"/>
        <v>-0.24168944248704105</v>
      </c>
      <c r="E788" s="9">
        <f t="shared" si="8"/>
        <v>2.2000613143609229</v>
      </c>
      <c r="F788" s="10">
        <v>45664</v>
      </c>
      <c r="H788">
        <f t="shared" si="9"/>
        <v>702.51015248904071</v>
      </c>
      <c r="I788" s="9">
        <f t="shared" si="10"/>
        <v>71.314071373816773</v>
      </c>
      <c r="J788" s="9">
        <f t="shared" si="11"/>
        <v>1333.7062336042645</v>
      </c>
    </row>
    <row r="789" spans="1:10" x14ac:dyDescent="0.2">
      <c r="A789" s="7">
        <v>45665</v>
      </c>
      <c r="C789">
        <f t="shared" si="6"/>
        <v>0.98349006659530502</v>
      </c>
      <c r="D789" s="9">
        <f t="shared" si="7"/>
        <v>-0.24578851134556801</v>
      </c>
      <c r="E789" s="9">
        <f t="shared" si="8"/>
        <v>2.2127686445361778</v>
      </c>
      <c r="F789" s="10">
        <v>45665</v>
      </c>
      <c r="H789">
        <f t="shared" si="9"/>
        <v>702.54818510251073</v>
      </c>
      <c r="I789" s="9">
        <f t="shared" si="10"/>
        <v>67.003403474369634</v>
      </c>
      <c r="J789" s="9">
        <f t="shared" si="11"/>
        <v>1338.0929667306518</v>
      </c>
    </row>
    <row r="790" spans="1:10" x14ac:dyDescent="0.2">
      <c r="A790" s="7">
        <v>45666</v>
      </c>
      <c r="C790">
        <f t="shared" si="6"/>
        <v>1.0053773770260459</v>
      </c>
      <c r="D790" s="9">
        <f t="shared" si="7"/>
        <v>-0.23233421432849299</v>
      </c>
      <c r="E790" s="9">
        <f t="shared" si="8"/>
        <v>2.2430889683805848</v>
      </c>
      <c r="F790" s="10">
        <v>45666</v>
      </c>
      <c r="H790">
        <f t="shared" si="9"/>
        <v>702.58621771598132</v>
      </c>
      <c r="I790" s="9">
        <f t="shared" si="10"/>
        <v>62.677335471756919</v>
      </c>
      <c r="J790" s="9">
        <f t="shared" si="11"/>
        <v>1342.4950999602056</v>
      </c>
    </row>
    <row r="791" spans="1:10" x14ac:dyDescent="0.2">
      <c r="A791" s="7">
        <v>45667</v>
      </c>
      <c r="C791">
        <f t="shared" si="6"/>
        <v>1.0021391835924471</v>
      </c>
      <c r="D791" s="9">
        <f t="shared" si="7"/>
        <v>-0.24403507799418223</v>
      </c>
      <c r="E791" s="9">
        <f t="shared" si="8"/>
        <v>2.2483134451790763</v>
      </c>
      <c r="F791" s="10">
        <v>45667</v>
      </c>
      <c r="H791">
        <f t="shared" si="9"/>
        <v>702.62425032945146</v>
      </c>
      <c r="I791" s="9">
        <f t="shared" si="10"/>
        <v>58.335948370673691</v>
      </c>
      <c r="J791" s="9">
        <f t="shared" si="11"/>
        <v>1346.9125522882291</v>
      </c>
    </row>
    <row r="792" spans="1:10" x14ac:dyDescent="0.2">
      <c r="A792" s="7">
        <v>45668</v>
      </c>
      <c r="C792">
        <f t="shared" si="6"/>
        <v>0.99671863017468421</v>
      </c>
      <c r="D792" s="9">
        <f t="shared" si="7"/>
        <v>-0.25794780351159763</v>
      </c>
      <c r="E792" s="9">
        <f t="shared" si="8"/>
        <v>2.2513850638609663</v>
      </c>
      <c r="F792" s="10">
        <v>45668</v>
      </c>
      <c r="H792">
        <f t="shared" si="9"/>
        <v>702.66228294292193</v>
      </c>
      <c r="I792" s="9">
        <f t="shared" si="10"/>
        <v>53.979322077435768</v>
      </c>
      <c r="J792" s="9">
        <f t="shared" si="11"/>
        <v>1351.3452438084082</v>
      </c>
    </row>
    <row r="793" spans="1:10" x14ac:dyDescent="0.2">
      <c r="A793" s="7">
        <v>45669</v>
      </c>
      <c r="C793">
        <f t="shared" si="6"/>
        <v>1.0033427145217404</v>
      </c>
      <c r="D793" s="9">
        <f t="shared" si="7"/>
        <v>-0.25984524027340128</v>
      </c>
      <c r="E793" s="9">
        <f t="shared" si="8"/>
        <v>2.2665306693168823</v>
      </c>
      <c r="F793" s="10">
        <v>45669</v>
      </c>
      <c r="H793">
        <f t="shared" si="9"/>
        <v>702.70031555639207</v>
      </c>
      <c r="I793" s="9">
        <f t="shared" si="10"/>
        <v>49.607535418107432</v>
      </c>
      <c r="J793" s="9">
        <f t="shared" si="11"/>
        <v>1355.7930956946766</v>
      </c>
    </row>
    <row r="794" spans="1:10" x14ac:dyDescent="0.2">
      <c r="A794" s="7">
        <v>45670</v>
      </c>
      <c r="C794">
        <f t="shared" si="6"/>
        <v>1.0054212562576603</v>
      </c>
      <c r="D794" s="9">
        <f t="shared" si="7"/>
        <v>-0.26631741785520546</v>
      </c>
      <c r="E794" s="9">
        <f t="shared" si="8"/>
        <v>2.2771599303705261</v>
      </c>
      <c r="F794" s="10">
        <v>45670</v>
      </c>
      <c r="H794">
        <f t="shared" si="9"/>
        <v>702.73834816986255</v>
      </c>
      <c r="I794" s="9">
        <f t="shared" si="10"/>
        <v>45.220666156382435</v>
      </c>
      <c r="J794" s="9">
        <f t="shared" si="11"/>
        <v>1360.2560301833428</v>
      </c>
    </row>
    <row r="795" spans="1:10" x14ac:dyDescent="0.2">
      <c r="A795" s="7">
        <v>45671</v>
      </c>
      <c r="C795">
        <f t="shared" si="6"/>
        <v>0.98253365853095798</v>
      </c>
      <c r="D795" s="9">
        <f t="shared" si="7"/>
        <v>-0.29787137347010118</v>
      </c>
      <c r="E795" s="9">
        <f t="shared" si="8"/>
        <v>2.262938690532017</v>
      </c>
      <c r="F795" s="10">
        <v>45671</v>
      </c>
      <c r="H795">
        <f t="shared" si="9"/>
        <v>702.77638078333268</v>
      </c>
      <c r="I795" s="9">
        <f t="shared" si="10"/>
        <v>40.818791011202734</v>
      </c>
      <c r="J795" s="9">
        <f t="shared" si="11"/>
        <v>1364.7339705554627</v>
      </c>
    </row>
    <row r="796" spans="1:10" x14ac:dyDescent="0.2">
      <c r="A796" s="7">
        <v>45672</v>
      </c>
      <c r="C796">
        <f t="shared" si="6"/>
        <v>0.97978829774334752</v>
      </c>
      <c r="D796" s="9">
        <f t="shared" si="7"/>
        <v>-0.30922482736939438</v>
      </c>
      <c r="E796" s="9">
        <f t="shared" si="8"/>
        <v>2.2688014228560895</v>
      </c>
      <c r="F796" s="10">
        <v>45672</v>
      </c>
      <c r="H796">
        <f t="shared" si="9"/>
        <v>702.81441339680316</v>
      </c>
      <c r="I796" s="9">
        <f t="shared" si="10"/>
        <v>36.401985674126649</v>
      </c>
      <c r="J796" s="9">
        <f t="shared" si="11"/>
        <v>1369.2268411194796</v>
      </c>
    </row>
    <row r="797" spans="1:10" x14ac:dyDescent="0.2">
      <c r="A797" s="7">
        <v>45673</v>
      </c>
      <c r="C797">
        <f t="shared" si="6"/>
        <v>0.98409242840171174</v>
      </c>
      <c r="D797" s="9">
        <f t="shared" si="7"/>
        <v>-0.31355755342016967</v>
      </c>
      <c r="E797" s="9">
        <f t="shared" si="8"/>
        <v>2.2817424102235933</v>
      </c>
      <c r="F797" s="10">
        <v>45673</v>
      </c>
      <c r="H797">
        <f t="shared" si="9"/>
        <v>702.8524460102733</v>
      </c>
      <c r="I797" s="9">
        <f t="shared" si="10"/>
        <v>31.970324826434648</v>
      </c>
      <c r="J797" s="9">
        <f t="shared" si="11"/>
        <v>1373.7345671941121</v>
      </c>
    </row>
    <row r="798" spans="1:10" x14ac:dyDescent="0.2">
      <c r="A798" s="7">
        <v>45674</v>
      </c>
      <c r="C798">
        <f t="shared" si="6"/>
        <v>1.0059797388324527</v>
      </c>
      <c r="D798" s="9">
        <f t="shared" si="7"/>
        <v>-0.30033572032502076</v>
      </c>
      <c r="E798" s="9">
        <f t="shared" si="8"/>
        <v>2.3122951979899264</v>
      </c>
      <c r="F798" s="10">
        <v>45674</v>
      </c>
      <c r="H798">
        <f t="shared" si="9"/>
        <v>702.89047862374377</v>
      </c>
      <c r="I798" s="9">
        <f t="shared" si="10"/>
        <v>27.523882155981937</v>
      </c>
      <c r="J798" s="9">
        <f t="shared" si="11"/>
        <v>1378.2570750915056</v>
      </c>
    </row>
    <row r="799" spans="1:10" x14ac:dyDescent="0.2">
      <c r="A799" s="7">
        <v>45675</v>
      </c>
      <c r="C799">
        <f t="shared" si="6"/>
        <v>1.002741545398854</v>
      </c>
      <c r="D799" s="9">
        <f t="shared" si="7"/>
        <v>-0.31226787064319961</v>
      </c>
      <c r="E799" s="9">
        <f t="shared" si="8"/>
        <v>2.3177509614409075</v>
      </c>
      <c r="F799" s="10">
        <v>45675</v>
      </c>
      <c r="H799">
        <f t="shared" si="9"/>
        <v>702.92851123721391</v>
      </c>
      <c r="I799" s="9">
        <f t="shared" si="10"/>
        <v>23.062730373790828</v>
      </c>
      <c r="J799" s="9">
        <f t="shared" si="11"/>
        <v>1382.794292100637</v>
      </c>
    </row>
    <row r="800" spans="1:10" x14ac:dyDescent="0.2">
      <c r="A800" s="7">
        <v>45676</v>
      </c>
      <c r="C800">
        <f t="shared" si="6"/>
        <v>0.99732099198109081</v>
      </c>
      <c r="D800" s="9">
        <f t="shared" si="7"/>
        <v>-0.32641072127905635</v>
      </c>
      <c r="E800" s="9">
        <f t="shared" si="8"/>
        <v>2.3210527052412377</v>
      </c>
      <c r="F800" s="10">
        <v>45676</v>
      </c>
      <c r="H800">
        <f t="shared" si="9"/>
        <v>702.9665438506845</v>
      </c>
      <c r="I800" s="9">
        <f t="shared" si="10"/>
        <v>18.586941230390266</v>
      </c>
      <c r="J800" s="9">
        <f t="shared" si="11"/>
        <v>1387.3461464709787</v>
      </c>
    </row>
    <row r="801" spans="1:10" x14ac:dyDescent="0.2">
      <c r="A801" s="7">
        <v>45677</v>
      </c>
      <c r="C801">
        <f t="shared" si="6"/>
        <v>1.003945076328147</v>
      </c>
      <c r="D801" s="9">
        <f t="shared" si="7"/>
        <v>-0.32853713709906285</v>
      </c>
      <c r="E801" s="9">
        <f t="shared" si="8"/>
        <v>2.3364272897553571</v>
      </c>
      <c r="F801" s="10">
        <v>45677</v>
      </c>
      <c r="H801">
        <f t="shared" si="9"/>
        <v>703.00457646415452</v>
      </c>
      <c r="I801" s="9">
        <f t="shared" si="10"/>
        <v>14.09658553189422</v>
      </c>
      <c r="J801" s="9">
        <f t="shared" si="11"/>
        <v>1391.9125673964149</v>
      </c>
    </row>
    <row r="802" spans="1:10" x14ac:dyDescent="0.2">
      <c r="A802" s="7">
        <v>45678</v>
      </c>
      <c r="C802">
        <f t="shared" si="6"/>
        <v>1.0060236180640669</v>
      </c>
      <c r="D802" s="9">
        <f t="shared" si="7"/>
        <v>-0.33523716289498662</v>
      </c>
      <c r="E802" s="9">
        <f t="shared" si="8"/>
        <v>2.3472843990231205</v>
      </c>
      <c r="F802" s="10">
        <v>45678</v>
      </c>
      <c r="H802">
        <f t="shared" si="9"/>
        <v>703.04260907762512</v>
      </c>
      <c r="I802" s="9">
        <f t="shared" si="10"/>
        <v>9.591733155832344</v>
      </c>
      <c r="J802" s="9">
        <f t="shared" si="11"/>
        <v>1396.4934849994179</v>
      </c>
    </row>
    <row r="803" spans="1:10" x14ac:dyDescent="0.2">
      <c r="A803" s="7">
        <v>45679</v>
      </c>
      <c r="C803">
        <f t="shared" si="6"/>
        <v>0.98313602033736469</v>
      </c>
      <c r="D803" s="9">
        <f t="shared" si="7"/>
        <v>-0.36701668700105272</v>
      </c>
      <c r="E803" s="9">
        <f t="shared" si="8"/>
        <v>2.3332887276757823</v>
      </c>
      <c r="F803" s="10">
        <v>45679</v>
      </c>
      <c r="H803">
        <f t="shared" si="9"/>
        <v>703.08064169109514</v>
      </c>
      <c r="I803" s="9">
        <f t="shared" si="10"/>
        <v>5.0724530667197314</v>
      </c>
      <c r="J803" s="9">
        <f t="shared" si="11"/>
        <v>1401.0888303154707</v>
      </c>
    </row>
    <row r="804" spans="1:10" x14ac:dyDescent="0.2">
      <c r="A804" s="7">
        <v>45680</v>
      </c>
      <c r="C804">
        <f t="shared" si="6"/>
        <v>0.98039065954975424</v>
      </c>
      <c r="D804" s="9">
        <f t="shared" si="7"/>
        <v>-0.37859579502866647</v>
      </c>
      <c r="E804" s="9">
        <f t="shared" si="8"/>
        <v>2.3393771141281752</v>
      </c>
      <c r="F804" s="10">
        <v>45680</v>
      </c>
      <c r="H804">
        <f t="shared" si="9"/>
        <v>703.11867430456573</v>
      </c>
      <c r="I804" s="9">
        <f t="shared" si="10"/>
        <v>0.53881333138201626</v>
      </c>
      <c r="J804" s="9">
        <f t="shared" si="11"/>
        <v>1405.6985352777494</v>
      </c>
    </row>
    <row r="805" spans="1:10" x14ac:dyDescent="0.2">
      <c r="A805" s="7">
        <v>45681</v>
      </c>
      <c r="C805">
        <f t="shared" si="6"/>
        <v>0.98469479020811845</v>
      </c>
      <c r="D805" s="9">
        <f t="shared" si="7"/>
        <v>-0.38315308819341132</v>
      </c>
      <c r="E805" s="9">
        <f t="shared" si="8"/>
        <v>2.3525426686096482</v>
      </c>
      <c r="F805" s="10">
        <v>45681</v>
      </c>
      <c r="H805">
        <f t="shared" si="9"/>
        <v>703.15670691803575</v>
      </c>
      <c r="I805" s="9">
        <f t="shared" si="10"/>
        <v>-4.0091188659783938</v>
      </c>
      <c r="J805" s="9">
        <f t="shared" si="11"/>
        <v>1410.32253270205</v>
      </c>
    </row>
    <row r="806" spans="1:10" x14ac:dyDescent="0.2">
      <c r="A806" s="7">
        <v>45682</v>
      </c>
      <c r="C806">
        <f t="shared" si="6"/>
        <v>1.0065821006388593</v>
      </c>
      <c r="D806" s="9">
        <f t="shared" si="7"/>
        <v>-0.37015474942545468</v>
      </c>
      <c r="E806" s="9">
        <f t="shared" si="8"/>
        <v>2.3833189507031731</v>
      </c>
      <c r="F806" s="10">
        <v>45682</v>
      </c>
      <c r="H806">
        <f t="shared" si="9"/>
        <v>703.19473953150634</v>
      </c>
      <c r="I806" s="9">
        <f t="shared" si="10"/>
        <v>-8.5712772089543705</v>
      </c>
      <c r="J806" s="9">
        <f t="shared" si="11"/>
        <v>1414.9607562719671</v>
      </c>
    </row>
    <row r="807" spans="1:10" x14ac:dyDescent="0.2">
      <c r="A807" s="7">
        <v>45683</v>
      </c>
      <c r="C807">
        <f t="shared" si="6"/>
        <v>1.0033439072052606</v>
      </c>
      <c r="D807" s="9">
        <f t="shared" si="7"/>
        <v>-0.38230933527349409</v>
      </c>
      <c r="E807" s="9">
        <f t="shared" si="8"/>
        <v>2.3889971496840152</v>
      </c>
      <c r="F807" s="10">
        <v>45683</v>
      </c>
      <c r="H807">
        <f t="shared" si="9"/>
        <v>703.23277214497637</v>
      </c>
      <c r="I807" s="9">
        <f t="shared" si="10"/>
        <v>-13.147596234363618</v>
      </c>
      <c r="J807" s="9">
        <f t="shared" si="11"/>
        <v>1419.6131405243163</v>
      </c>
    </row>
    <row r="808" spans="1:10" x14ac:dyDescent="0.2">
      <c r="A808" s="7">
        <v>45684</v>
      </c>
      <c r="C808">
        <f t="shared" si="6"/>
        <v>0.99792335378749752</v>
      </c>
      <c r="D808" s="9">
        <f t="shared" si="7"/>
        <v>-0.39667357639703715</v>
      </c>
      <c r="E808" s="9">
        <f t="shared" si="8"/>
        <v>2.3925202839720323</v>
      </c>
      <c r="F808" s="10">
        <v>45684</v>
      </c>
      <c r="H808">
        <f t="shared" si="9"/>
        <v>703.27080475844696</v>
      </c>
      <c r="I808" s="9">
        <f t="shared" si="10"/>
        <v>-17.738011317912196</v>
      </c>
      <c r="J808" s="9">
        <f t="shared" si="11"/>
        <v>1424.2796208348061</v>
      </c>
    </row>
    <row r="809" spans="1:10" x14ac:dyDescent="0.2">
      <c r="A809" s="7">
        <v>45685</v>
      </c>
      <c r="C809">
        <f t="shared" si="6"/>
        <v>1.0045474381345538</v>
      </c>
      <c r="D809" s="9">
        <f t="shared" si="7"/>
        <v>-0.39902035118723855</v>
      </c>
      <c r="E809" s="9">
        <f t="shared" si="8"/>
        <v>2.4081152274563462</v>
      </c>
      <c r="F809" s="10">
        <v>45685</v>
      </c>
      <c r="H809">
        <f t="shared" si="9"/>
        <v>703.30883737191709</v>
      </c>
      <c r="I809" s="9">
        <f t="shared" si="10"/>
        <v>-22.342458660108832</v>
      </c>
      <c r="J809" s="9">
        <f t="shared" si="11"/>
        <v>1428.960133403943</v>
      </c>
    </row>
    <row r="810" spans="1:10" x14ac:dyDescent="0.2">
      <c r="A810" s="7">
        <v>45686</v>
      </c>
      <c r="C810">
        <f t="shared" si="6"/>
        <v>1.0066259798704738</v>
      </c>
      <c r="D810" s="9">
        <f t="shared" si="7"/>
        <v>-0.40593971773386217</v>
      </c>
      <c r="E810" s="9">
        <f t="shared" si="8"/>
        <v>2.4191916774748097</v>
      </c>
      <c r="F810" s="10">
        <v>45686</v>
      </c>
      <c r="H810">
        <f t="shared" si="9"/>
        <v>703.34686998538757</v>
      </c>
      <c r="I810" s="9">
        <f t="shared" si="10"/>
        <v>-26.96087527241275</v>
      </c>
      <c r="J810" s="9">
        <f t="shared" si="11"/>
        <v>1433.6546152431879</v>
      </c>
    </row>
    <row r="811" spans="1:10" x14ac:dyDescent="0.2">
      <c r="A811" s="7">
        <v>45687</v>
      </c>
      <c r="C811">
        <f t="shared" si="6"/>
        <v>0.98373838214377141</v>
      </c>
      <c r="D811" s="9">
        <f t="shared" si="7"/>
        <v>-0.43793642263453181</v>
      </c>
      <c r="E811" s="9">
        <f t="shared" si="8"/>
        <v>2.4054131869220745</v>
      </c>
      <c r="F811" s="10">
        <v>45687</v>
      </c>
      <c r="H811">
        <f t="shared" si="9"/>
        <v>703.38490259885771</v>
      </c>
      <c r="I811" s="9">
        <f t="shared" si="10"/>
        <v>-31.593198963622399</v>
      </c>
      <c r="J811" s="9">
        <f t="shared" si="11"/>
        <v>1438.3630041613378</v>
      </c>
    </row>
    <row r="812" spans="1:10" x14ac:dyDescent="0.2">
      <c r="A812" s="7">
        <v>45688</v>
      </c>
      <c r="C812">
        <f t="shared" si="6"/>
        <v>0.98099302135616095</v>
      </c>
      <c r="D812" s="9">
        <f t="shared" si="7"/>
        <v>-0.44973289615369805</v>
      </c>
      <c r="E812" s="9">
        <f t="shared" si="8"/>
        <v>2.4117189388660201</v>
      </c>
      <c r="F812" s="10">
        <v>45688</v>
      </c>
      <c r="H812">
        <f t="shared" si="9"/>
        <v>703.42293521232818</v>
      </c>
      <c r="I812" s="9">
        <f t="shared" si="10"/>
        <v>-36.239368326495764</v>
      </c>
      <c r="J812" s="9">
        <f t="shared" si="11"/>
        <v>1443.0852387511522</v>
      </c>
    </row>
    <row r="813" spans="1:10" x14ac:dyDescent="0.2">
      <c r="A813" s="7">
        <v>45689</v>
      </c>
      <c r="C813">
        <f t="shared" si="6"/>
        <v>0.98529715201452506</v>
      </c>
      <c r="D813" s="9">
        <f t="shared" si="7"/>
        <v>-0.45450657485537249</v>
      </c>
      <c r="E813" s="9">
        <f t="shared" si="8"/>
        <v>2.4251008788844226</v>
      </c>
      <c r="F813" s="10">
        <v>45689</v>
      </c>
      <c r="H813">
        <f t="shared" si="9"/>
        <v>703.46096782579832</v>
      </c>
      <c r="I813" s="9">
        <f t="shared" si="10"/>
        <v>-40.899322724606805</v>
      </c>
      <c r="J813" s="9">
        <f t="shared" si="11"/>
        <v>1447.8212583762033</v>
      </c>
    </row>
    <row r="814" spans="1:10" x14ac:dyDescent="0.2">
      <c r="A814" s="7">
        <v>45690</v>
      </c>
      <c r="C814">
        <f t="shared" si="6"/>
        <v>1.0071844624452659</v>
      </c>
      <c r="D814" s="9">
        <f t="shared" si="7"/>
        <v>-0.44172365410160874</v>
      </c>
      <c r="E814" s="9">
        <f t="shared" si="8"/>
        <v>2.4560925789921404</v>
      </c>
      <c r="F814" s="10">
        <v>45690</v>
      </c>
      <c r="H814">
        <f t="shared" si="9"/>
        <v>703.4990004392688</v>
      </c>
      <c r="I814" s="9">
        <f t="shared" si="10"/>
        <v>-45.573002279425282</v>
      </c>
      <c r="J814" s="9">
        <f t="shared" si="11"/>
        <v>1452.5710031579629</v>
      </c>
    </row>
    <row r="815" spans="1:10" x14ac:dyDescent="0.2">
      <c r="A815" s="7">
        <v>45691</v>
      </c>
      <c r="C815">
        <f t="shared" si="6"/>
        <v>1.0039462690116672</v>
      </c>
      <c r="D815" s="9">
        <f t="shared" si="7"/>
        <v>-0.45409270266476054</v>
      </c>
      <c r="E815" s="9">
        <f t="shared" si="8"/>
        <v>2.4619852406880947</v>
      </c>
      <c r="F815" s="10">
        <v>45691</v>
      </c>
      <c r="H815">
        <f t="shared" si="9"/>
        <v>703.53703305273893</v>
      </c>
      <c r="I815" s="9">
        <f t="shared" si="10"/>
        <v>-50.260347857628176</v>
      </c>
      <c r="J815" s="9">
        <f t="shared" si="11"/>
        <v>1457.334413963106</v>
      </c>
    </row>
    <row r="816" spans="1:10" x14ac:dyDescent="0.2">
      <c r="A816" s="7">
        <v>45692</v>
      </c>
      <c r="C816">
        <f t="shared" si="6"/>
        <v>0.99852571559390424</v>
      </c>
      <c r="D816" s="9">
        <f t="shared" si="7"/>
        <v>-0.46867046322333406</v>
      </c>
      <c r="E816" s="9">
        <f t="shared" si="8"/>
        <v>2.4657218944111428</v>
      </c>
      <c r="F816" s="10">
        <v>45692</v>
      </c>
      <c r="H816">
        <f t="shared" si="9"/>
        <v>703.57506566620953</v>
      </c>
      <c r="I816" s="9">
        <f t="shared" si="10"/>
        <v>-54.961301058629942</v>
      </c>
      <c r="J816" s="9">
        <f t="shared" si="11"/>
        <v>1462.111432391049</v>
      </c>
    </row>
    <row r="817" spans="1:10" x14ac:dyDescent="0.2">
      <c r="A817" s="7">
        <v>45693</v>
      </c>
      <c r="C817">
        <f t="shared" si="6"/>
        <v>1.0051497999409604</v>
      </c>
      <c r="D817" s="9">
        <f t="shared" si="7"/>
        <v>-0.4712298259863601</v>
      </c>
      <c r="E817" s="9">
        <f t="shared" si="8"/>
        <v>2.4815294258682812</v>
      </c>
      <c r="F817" s="10">
        <v>45693</v>
      </c>
      <c r="H817">
        <f t="shared" si="9"/>
        <v>703.61309827967955</v>
      </c>
      <c r="I817" s="9">
        <f t="shared" si="10"/>
        <v>-59.675804202338441</v>
      </c>
      <c r="J817" s="9">
        <f t="shared" si="11"/>
        <v>1466.9020007616975</v>
      </c>
    </row>
    <row r="818" spans="1:10" x14ac:dyDescent="0.2">
      <c r="A818" s="7">
        <v>45694</v>
      </c>
      <c r="C818">
        <f t="shared" si="6"/>
        <v>1.0072283416768804</v>
      </c>
      <c r="D818" s="9">
        <f t="shared" si="7"/>
        <v>-0.47836086066384476</v>
      </c>
      <c r="E818" s="9">
        <f t="shared" si="8"/>
        <v>2.4928175440176057</v>
      </c>
      <c r="F818" s="10">
        <v>45694</v>
      </c>
      <c r="H818">
        <f t="shared" si="9"/>
        <v>703.65113089315014</v>
      </c>
      <c r="I818" s="9">
        <f t="shared" si="10"/>
        <v>-64.40380031712084</v>
      </c>
      <c r="J818" s="9">
        <f t="shared" si="11"/>
        <v>1471.7060621034211</v>
      </c>
    </row>
    <row r="819" spans="1:10" x14ac:dyDescent="0.2">
      <c r="A819" s="7">
        <v>45695</v>
      </c>
      <c r="C819">
        <f t="shared" si="6"/>
        <v>0.98434074395017812</v>
      </c>
      <c r="D819" s="9">
        <f t="shared" si="7"/>
        <v>-0.51056718583899086</v>
      </c>
      <c r="E819" s="9">
        <f t="shared" si="8"/>
        <v>2.4792486737393471</v>
      </c>
      <c r="F819" s="10">
        <v>45695</v>
      </c>
      <c r="H819">
        <f t="shared" si="9"/>
        <v>703.68916350662016</v>
      </c>
      <c r="I819" s="9">
        <f t="shared" si="10"/>
        <v>-69.145233127993492</v>
      </c>
      <c r="J819" s="9">
        <f t="shared" si="11"/>
        <v>1476.5235601412337</v>
      </c>
    </row>
    <row r="820" spans="1:10" x14ac:dyDescent="0.2">
      <c r="A820" s="7">
        <v>45696</v>
      </c>
      <c r="C820">
        <f t="shared" si="6"/>
        <v>0.98159538316256756</v>
      </c>
      <c r="D820" s="9">
        <f t="shared" si="7"/>
        <v>-0.52257354318238447</v>
      </c>
      <c r="E820" s="9">
        <f t="shared" si="8"/>
        <v>2.4857643095075197</v>
      </c>
      <c r="F820" s="10">
        <v>45696</v>
      </c>
      <c r="H820">
        <f t="shared" si="9"/>
        <v>703.72719612009075</v>
      </c>
      <c r="I820" s="9">
        <f t="shared" si="10"/>
        <v>-73.900047045012116</v>
      </c>
      <c r="J820" s="9">
        <f t="shared" si="11"/>
        <v>1481.3544392851936</v>
      </c>
    </row>
    <row r="821" spans="1:10" x14ac:dyDescent="0.2">
      <c r="A821" s="7">
        <v>45697</v>
      </c>
      <c r="C821">
        <f t="shared" si="6"/>
        <v>0.98589951382093177</v>
      </c>
      <c r="D821" s="9">
        <f t="shared" si="7"/>
        <v>-0.52755621927910601</v>
      </c>
      <c r="E821" s="9">
        <f t="shared" si="8"/>
        <v>2.4993552469209694</v>
      </c>
      <c r="F821" s="10">
        <v>45697</v>
      </c>
      <c r="H821">
        <f t="shared" si="9"/>
        <v>703.76522873356078</v>
      </c>
      <c r="I821" s="9">
        <f t="shared" si="10"/>
        <v>-78.668187151881398</v>
      </c>
      <c r="J821" s="9">
        <f t="shared" si="11"/>
        <v>1486.1986446190031</v>
      </c>
    </row>
    <row r="822" spans="1:10" x14ac:dyDescent="0.2">
      <c r="A822" s="7">
        <v>45698</v>
      </c>
      <c r="C822">
        <f t="shared" si="6"/>
        <v>1.0077868242516728</v>
      </c>
      <c r="D822" s="9">
        <f t="shared" si="7"/>
        <v>-0.51498142035858607</v>
      </c>
      <c r="E822" s="9">
        <f t="shared" si="8"/>
        <v>2.5305550688619318</v>
      </c>
      <c r="F822" s="10">
        <v>45698</v>
      </c>
      <c r="H822">
        <f t="shared" si="9"/>
        <v>703.80326134703137</v>
      </c>
      <c r="I822" s="9">
        <f t="shared" si="10"/>
        <v>-83.449599194759116</v>
      </c>
      <c r="J822" s="9">
        <f t="shared" si="11"/>
        <v>1491.056121888822</v>
      </c>
    </row>
    <row r="823" spans="1:10" x14ac:dyDescent="0.2">
      <c r="A823" s="7">
        <v>45699</v>
      </c>
      <c r="C823">
        <f t="shared" si="6"/>
        <v>1.004548630818074</v>
      </c>
      <c r="D823" s="9">
        <f t="shared" si="7"/>
        <v>-0.5275577258797135</v>
      </c>
      <c r="E823" s="9">
        <f t="shared" si="8"/>
        <v>2.5366549875158615</v>
      </c>
      <c r="F823" s="10">
        <v>45699</v>
      </c>
      <c r="H823">
        <f t="shared" si="9"/>
        <v>703.84129396050139</v>
      </c>
      <c r="I823" s="9">
        <f t="shared" si="10"/>
        <v>-88.244229571272967</v>
      </c>
      <c r="J823" s="9">
        <f t="shared" si="11"/>
        <v>1495.9268174922759</v>
      </c>
    </row>
    <row r="824" spans="1:10" x14ac:dyDescent="0.2">
      <c r="A824" s="7">
        <v>45700</v>
      </c>
      <c r="C824">
        <f t="shared" si="6"/>
        <v>0.99912807740031095</v>
      </c>
      <c r="D824" s="9">
        <f t="shared" si="7"/>
        <v>-0.5423418890299071</v>
      </c>
      <c r="E824" s="9">
        <f t="shared" si="8"/>
        <v>2.5405980438305291</v>
      </c>
      <c r="F824" s="10">
        <v>45700</v>
      </c>
      <c r="H824">
        <f t="shared" si="9"/>
        <v>703.87932657397198</v>
      </c>
      <c r="I824" s="9">
        <f t="shared" si="10"/>
        <v>-93.052025319725317</v>
      </c>
      <c r="J824" s="9">
        <f t="shared" si="11"/>
        <v>1500.8106784676693</v>
      </c>
    </row>
    <row r="825" spans="1:10" x14ac:dyDescent="0.2">
      <c r="A825" s="7">
        <v>45701</v>
      </c>
      <c r="C825">
        <f t="shared" si="6"/>
        <v>1.0057521617473673</v>
      </c>
      <c r="D825" s="9">
        <f t="shared" si="7"/>
        <v>-0.54510681035266551</v>
      </c>
      <c r="E825" s="9">
        <f t="shared" si="8"/>
        <v>2.5566111338474</v>
      </c>
      <c r="F825" s="10">
        <v>45701</v>
      </c>
      <c r="H825">
        <f t="shared" si="9"/>
        <v>703.91735918744212</v>
      </c>
      <c r="I825" s="9">
        <f t="shared" si="10"/>
        <v>-97.872934108504296</v>
      </c>
      <c r="J825" s="9">
        <f t="shared" si="11"/>
        <v>1505.7076524833885</v>
      </c>
    </row>
    <row r="826" spans="1:10" x14ac:dyDescent="0.2">
      <c r="A826" s="7">
        <v>45702</v>
      </c>
      <c r="C826">
        <f t="shared" si="6"/>
        <v>1.007830703483287</v>
      </c>
      <c r="D826" s="9">
        <f t="shared" si="7"/>
        <v>-0.55244256972114614</v>
      </c>
      <c r="E826" s="9">
        <f t="shared" si="8"/>
        <v>2.5681039766877198</v>
      </c>
      <c r="F826" s="10">
        <v>45702</v>
      </c>
      <c r="H826">
        <f t="shared" si="9"/>
        <v>703.95539180091259</v>
      </c>
      <c r="I826" s="9">
        <f t="shared" si="10"/>
        <v>-102.70690422567804</v>
      </c>
      <c r="J826" s="9">
        <f t="shared" si="11"/>
        <v>1510.6176878275032</v>
      </c>
    </row>
    <row r="827" spans="1:10" x14ac:dyDescent="0.2">
      <c r="A827" s="7">
        <v>45703</v>
      </c>
      <c r="C827">
        <f t="shared" si="6"/>
        <v>0.98494310575658472</v>
      </c>
      <c r="D827" s="9">
        <f t="shared" si="7"/>
        <v>-0.5848516762123821</v>
      </c>
      <c r="E827" s="9">
        <f t="shared" si="8"/>
        <v>2.5547378877255515</v>
      </c>
      <c r="F827" s="10">
        <v>45703</v>
      </c>
      <c r="H827">
        <f t="shared" si="9"/>
        <v>703.99342441438273</v>
      </c>
      <c r="I827" s="9">
        <f t="shared" si="10"/>
        <v>-107.55388456878745</v>
      </c>
      <c r="J827" s="9">
        <f t="shared" si="11"/>
        <v>1515.5407333975529</v>
      </c>
    </row>
    <row r="828" spans="1:10" x14ac:dyDescent="0.2">
      <c r="A828" s="7">
        <v>45704</v>
      </c>
      <c r="C828">
        <f t="shared" si="6"/>
        <v>0.98219774496897427</v>
      </c>
      <c r="D828" s="9">
        <f t="shared" si="7"/>
        <v>-0.59706114068528016</v>
      </c>
      <c r="E828" s="9">
        <f t="shared" si="8"/>
        <v>2.5614566306232289</v>
      </c>
      <c r="F828" s="10">
        <v>45704</v>
      </c>
      <c r="H828">
        <f t="shared" si="9"/>
        <v>704.03145702785321</v>
      </c>
      <c r="I828" s="9">
        <f t="shared" si="10"/>
        <v>-112.41382463481716</v>
      </c>
      <c r="J828" s="9">
        <f t="shared" si="11"/>
        <v>1520.4767386905237</v>
      </c>
    </row>
    <row r="829" spans="1:10" x14ac:dyDescent="0.2">
      <c r="A829" s="7">
        <v>45705</v>
      </c>
      <c r="C829">
        <f t="shared" si="6"/>
        <v>0.98650187562733849</v>
      </c>
      <c r="D829" s="9">
        <f t="shared" si="7"/>
        <v>-0.60224611925125249</v>
      </c>
      <c r="E829" s="9">
        <f t="shared" si="8"/>
        <v>2.5752498705059295</v>
      </c>
      <c r="F829" s="10">
        <v>45705</v>
      </c>
      <c r="H829">
        <f t="shared" si="9"/>
        <v>704.06948964132334</v>
      </c>
      <c r="I829" s="9">
        <f t="shared" si="10"/>
        <v>-117.28667451035699</v>
      </c>
      <c r="J829" s="9">
        <f t="shared" si="11"/>
        <v>1525.4256537930037</v>
      </c>
    </row>
    <row r="830" spans="1:10" x14ac:dyDescent="0.2">
      <c r="A830" s="7">
        <v>45706</v>
      </c>
      <c r="C830">
        <f t="shared" si="6"/>
        <v>1.0083891860580794</v>
      </c>
      <c r="D830" s="9">
        <f t="shared" si="7"/>
        <v>-0.58987282765162585</v>
      </c>
      <c r="E830" s="9">
        <f t="shared" si="8"/>
        <v>2.6066511997677848</v>
      </c>
      <c r="F830" s="10">
        <v>45706</v>
      </c>
      <c r="H830">
        <f t="shared" si="9"/>
        <v>704.10752225479382</v>
      </c>
      <c r="I830" s="9">
        <f t="shared" si="10"/>
        <v>-122.17238486193776</v>
      </c>
      <c r="J830" s="9">
        <f t="shared" si="11"/>
        <v>1530.3874293715253</v>
      </c>
    </row>
    <row r="831" spans="1:10" x14ac:dyDescent="0.2">
      <c r="A831" s="7">
        <v>45707</v>
      </c>
      <c r="C831">
        <f t="shared" si="6"/>
        <v>1.0051509926244806</v>
      </c>
      <c r="D831" s="9">
        <f t="shared" si="7"/>
        <v>-0.60264985470078014</v>
      </c>
      <c r="E831" s="9">
        <f t="shared" si="8"/>
        <v>2.6129518399497416</v>
      </c>
      <c r="F831" s="10">
        <v>45707</v>
      </c>
      <c r="H831">
        <f t="shared" si="9"/>
        <v>704.14555486826396</v>
      </c>
      <c r="I831" s="9">
        <f t="shared" si="10"/>
        <v>-127.07090692655038</v>
      </c>
      <c r="J831" s="9">
        <f t="shared" si="11"/>
        <v>1535.3620166630783</v>
      </c>
    </row>
    <row r="832" spans="1:10" x14ac:dyDescent="0.2">
      <c r="A832" s="7">
        <v>45708</v>
      </c>
      <c r="C832">
        <f t="shared" si="6"/>
        <v>0.99973043920671767</v>
      </c>
      <c r="D832" s="9">
        <f t="shared" si="7"/>
        <v>-0.61763396278806693</v>
      </c>
      <c r="E832" s="9">
        <f t="shared" si="8"/>
        <v>2.617094841201502</v>
      </c>
      <c r="F832" s="10">
        <v>45708</v>
      </c>
      <c r="H832">
        <f t="shared" si="9"/>
        <v>704.18358748173443</v>
      </c>
      <c r="I832" s="9">
        <f t="shared" si="10"/>
        <v>-131.98219250233308</v>
      </c>
      <c r="J832" s="9">
        <f t="shared" si="11"/>
        <v>1540.3493674658021</v>
      </c>
    </row>
    <row r="833" spans="1:10" x14ac:dyDescent="0.2">
      <c r="A833" s="7">
        <v>45709</v>
      </c>
      <c r="C833">
        <f t="shared" si="6"/>
        <v>1.0063545235537739</v>
      </c>
      <c r="D833" s="9">
        <f t="shared" si="7"/>
        <v>-0.62059806150815477</v>
      </c>
      <c r="E833" s="9">
        <f t="shared" si="8"/>
        <v>2.6333071086157025</v>
      </c>
      <c r="F833" s="10">
        <v>45709</v>
      </c>
      <c r="H833">
        <f t="shared" si="9"/>
        <v>704.22162009520457</v>
      </c>
      <c r="I833" s="9">
        <f t="shared" si="10"/>
        <v>-136.90619393943462</v>
      </c>
      <c r="J833" s="9">
        <f t="shared" si="11"/>
        <v>1545.3494341298438</v>
      </c>
    </row>
    <row r="834" spans="1:10" x14ac:dyDescent="0.2">
      <c r="A834" s="7">
        <v>45710</v>
      </c>
      <c r="C834">
        <f t="shared" si="6"/>
        <v>1.0084330652896938</v>
      </c>
      <c r="D834" s="9">
        <f t="shared" si="7"/>
        <v>-0.62813223963736409</v>
      </c>
      <c r="E834" s="9">
        <f t="shared" si="8"/>
        <v>2.6449983702167517</v>
      </c>
      <c r="F834" s="10">
        <v>45710</v>
      </c>
      <c r="H834">
        <f t="shared" si="9"/>
        <v>704.25965270867516</v>
      </c>
      <c r="I834" s="9">
        <f t="shared" si="10"/>
        <v>-141.8428641310428</v>
      </c>
      <c r="J834" s="9">
        <f t="shared" si="11"/>
        <v>1550.362169548393</v>
      </c>
    </row>
    <row r="835" spans="1:10" x14ac:dyDescent="0.2">
      <c r="A835" s="7">
        <v>45711</v>
      </c>
      <c r="C835">
        <f t="shared" si="6"/>
        <v>0.98554546756299144</v>
      </c>
      <c r="D835" s="9">
        <f t="shared" si="7"/>
        <v>-0.66073791865616116</v>
      </c>
      <c r="E835" s="9">
        <f t="shared" si="8"/>
        <v>2.6318288537821442</v>
      </c>
      <c r="F835" s="10">
        <v>45711</v>
      </c>
      <c r="H835">
        <f t="shared" si="9"/>
        <v>704.29768532214518</v>
      </c>
      <c r="I835" s="9">
        <f t="shared" si="10"/>
        <v>-146.79215650458184</v>
      </c>
      <c r="J835" s="9">
        <f t="shared" si="11"/>
        <v>1555.3875271488723</v>
      </c>
    </row>
    <row r="836" spans="1:10" x14ac:dyDescent="0.2">
      <c r="A836" s="7">
        <v>45712</v>
      </c>
      <c r="C836">
        <f t="shared" si="6"/>
        <v>0.98280010677538099</v>
      </c>
      <c r="D836" s="9">
        <f t="shared" si="7"/>
        <v>-0.67314433015220076</v>
      </c>
      <c r="E836" s="9">
        <f t="shared" si="8"/>
        <v>2.6387445437029626</v>
      </c>
      <c r="F836" s="10">
        <v>45712</v>
      </c>
      <c r="H836">
        <f t="shared" si="9"/>
        <v>704.33571793561578</v>
      </c>
      <c r="I836" s="9">
        <f t="shared" si="10"/>
        <v>-151.75402501306553</v>
      </c>
      <c r="J836" s="9">
        <f t="shared" si="11"/>
        <v>1560.4254608842971</v>
      </c>
    </row>
    <row r="837" spans="1:10" x14ac:dyDescent="0.2">
      <c r="A837" s="7">
        <v>45713</v>
      </c>
      <c r="C837">
        <f t="shared" si="6"/>
        <v>0.9871042374337452</v>
      </c>
      <c r="D837" s="9">
        <f t="shared" si="7"/>
        <v>-0.67852552268371868</v>
      </c>
      <c r="E837" s="9">
        <f t="shared" si="8"/>
        <v>2.6527339975512092</v>
      </c>
      <c r="F837" s="10">
        <v>45713</v>
      </c>
      <c r="H837">
        <f t="shared" si="9"/>
        <v>704.3737505490858</v>
      </c>
      <c r="I837" s="9">
        <f t="shared" si="10"/>
        <v>-156.72842412661942</v>
      </c>
      <c r="J837" s="9">
        <f t="shared" si="11"/>
        <v>1565.4759252247909</v>
      </c>
    </row>
    <row r="838" spans="1:10" x14ac:dyDescent="0.2">
      <c r="A838" s="7">
        <v>45714</v>
      </c>
      <c r="C838">
        <f t="shared" si="6"/>
        <v>1.0089915478644862</v>
      </c>
      <c r="D838" s="9">
        <f t="shared" si="7"/>
        <v>-0.66634772033338896</v>
      </c>
      <c r="E838" s="9">
        <f t="shared" si="8"/>
        <v>2.6843308160623613</v>
      </c>
      <c r="F838" s="10">
        <v>45714</v>
      </c>
      <c r="H838">
        <f t="shared" si="9"/>
        <v>704.41178316255639</v>
      </c>
      <c r="I838" s="9">
        <f t="shared" si="10"/>
        <v>-161.71530882414868</v>
      </c>
      <c r="J838" s="9">
        <f t="shared" si="11"/>
        <v>1570.5388751492615</v>
      </c>
    </row>
    <row r="839" spans="1:10" x14ac:dyDescent="0.2">
      <c r="A839" s="7">
        <v>45715</v>
      </c>
      <c r="C839">
        <f t="shared" si="6"/>
        <v>1.0057533544308874</v>
      </c>
      <c r="D839" s="9">
        <f t="shared" si="7"/>
        <v>-0.67931952012197061</v>
      </c>
      <c r="E839" s="9">
        <f t="shared" si="8"/>
        <v>2.6908262289837452</v>
      </c>
      <c r="F839" s="10">
        <v>45715</v>
      </c>
      <c r="H839">
        <f t="shared" si="9"/>
        <v>704.44981577602641</v>
      </c>
      <c r="I839" s="9">
        <f t="shared" si="10"/>
        <v>-166.71463458517087</v>
      </c>
      <c r="J839" s="9">
        <f t="shared" si="11"/>
        <v>1575.6142661372237</v>
      </c>
    </row>
    <row r="840" spans="1:10" x14ac:dyDescent="0.2">
      <c r="A840" s="7">
        <v>45716</v>
      </c>
      <c r="C840">
        <f t="shared" si="6"/>
        <v>1.0003328010131243</v>
      </c>
      <c r="D840" s="9">
        <f t="shared" si="7"/>
        <v>-0.69449769251270688</v>
      </c>
      <c r="E840" s="9">
        <f t="shared" si="8"/>
        <v>2.6951632945389554</v>
      </c>
      <c r="F840" s="10">
        <v>45716</v>
      </c>
      <c r="H840">
        <f t="shared" si="9"/>
        <v>704.487848389497</v>
      </c>
      <c r="I840" s="9">
        <f t="shared" si="10"/>
        <v>-171.72635738178951</v>
      </c>
      <c r="J840" s="9">
        <f t="shared" si="11"/>
        <v>1580.7020541607835</v>
      </c>
    </row>
    <row r="841" spans="1:10" x14ac:dyDescent="0.2">
      <c r="A841" s="7">
        <v>45717</v>
      </c>
      <c r="C841">
        <f t="shared" si="6"/>
        <v>1.0069568853601805</v>
      </c>
      <c r="D841" s="9">
        <f t="shared" si="7"/>
        <v>-0.69765515504410502</v>
      </c>
      <c r="E841" s="9">
        <f t="shared" si="8"/>
        <v>2.7115689257644657</v>
      </c>
      <c r="F841" s="10">
        <v>45717</v>
      </c>
      <c r="H841">
        <f t="shared" si="9"/>
        <v>704.52588100296703</v>
      </c>
      <c r="I841" s="9">
        <f t="shared" si="10"/>
        <v>-176.75043367082412</v>
      </c>
      <c r="J841" s="9">
        <f t="shared" si="11"/>
        <v>1585.8021956767582</v>
      </c>
    </row>
    <row r="842" spans="1:10" x14ac:dyDescent="0.2">
      <c r="A842" s="7">
        <v>45718</v>
      </c>
      <c r="C842">
        <f t="shared" si="6"/>
        <v>1.0090354270961004</v>
      </c>
      <c r="D842" s="9">
        <f t="shared" si="7"/>
        <v>-0.70538200430866427</v>
      </c>
      <c r="E842" s="9">
        <f t="shared" si="8"/>
        <v>2.723452858500865</v>
      </c>
      <c r="F842" s="10">
        <v>45718</v>
      </c>
      <c r="H842">
        <f t="shared" si="9"/>
        <v>704.56391361643762</v>
      </c>
      <c r="I842" s="9">
        <f t="shared" si="10"/>
        <v>-181.78682038607906</v>
      </c>
      <c r="J842" s="9">
        <f t="shared" si="11"/>
        <v>1590.9146476189544</v>
      </c>
    </row>
    <row r="843" spans="1:10" x14ac:dyDescent="0.2">
      <c r="A843" s="7">
        <v>45719</v>
      </c>
      <c r="C843">
        <f t="shared" si="6"/>
        <v>0.98614782936939815</v>
      </c>
      <c r="D843" s="9">
        <f t="shared" si="7"/>
        <v>-0.738178598435834</v>
      </c>
      <c r="E843" s="9">
        <f t="shared" si="8"/>
        <v>2.7104742571746305</v>
      </c>
      <c r="F843" s="10">
        <v>45719</v>
      </c>
      <c r="H843">
        <f t="shared" si="9"/>
        <v>704.60194622990775</v>
      </c>
      <c r="I843" s="9">
        <f t="shared" si="10"/>
        <v>-186.83547493076173</v>
      </c>
      <c r="J843" s="9">
        <f t="shared" si="11"/>
        <v>1596.0393673905774</v>
      </c>
    </row>
    <row r="844" spans="1:10" x14ac:dyDescent="0.2">
      <c r="A844" s="7">
        <v>45720</v>
      </c>
      <c r="C844">
        <f t="shared" si="6"/>
        <v>0.9834024685817877</v>
      </c>
      <c r="D844" s="9">
        <f t="shared" si="7"/>
        <v>-0.75077633712153213</v>
      </c>
      <c r="E844" s="9">
        <f t="shared" si="8"/>
        <v>2.7175812742851075</v>
      </c>
      <c r="F844" s="10">
        <v>45720</v>
      </c>
      <c r="H844">
        <f t="shared" si="9"/>
        <v>704.63997884337823</v>
      </c>
      <c r="I844" s="9">
        <f t="shared" si="10"/>
        <v>-191.89635517003353</v>
      </c>
      <c r="J844" s="9">
        <f t="shared" si="11"/>
        <v>1601.17631285679</v>
      </c>
    </row>
    <row r="845" spans="1:10" x14ac:dyDescent="0.2">
      <c r="A845" s="7">
        <v>45721</v>
      </c>
      <c r="C845">
        <f t="shared" si="6"/>
        <v>0.98770659924015192</v>
      </c>
      <c r="D845" s="9">
        <f t="shared" si="7"/>
        <v>-0.75634818661848757</v>
      </c>
      <c r="E845" s="9">
        <f t="shared" si="8"/>
        <v>2.7317613850987916</v>
      </c>
      <c r="F845" s="10">
        <v>45721</v>
      </c>
      <c r="H845">
        <f t="shared" si="9"/>
        <v>704.67801145684837</v>
      </c>
      <c r="I845" s="9">
        <f t="shared" si="10"/>
        <v>-196.96941942370631</v>
      </c>
      <c r="J845" s="9">
        <f t="shared" si="11"/>
        <v>1606.325442337403</v>
      </c>
    </row>
    <row r="846" spans="1:10" x14ac:dyDescent="0.2">
      <c r="A846" s="7">
        <v>45722</v>
      </c>
      <c r="C846">
        <f t="shared" si="6"/>
        <v>1.0095939096708928</v>
      </c>
      <c r="D846" s="9">
        <f t="shared" si="7"/>
        <v>-0.74436037834147695</v>
      </c>
      <c r="E846" s="9">
        <f t="shared" si="8"/>
        <v>2.7635481976832628</v>
      </c>
      <c r="F846" s="10">
        <v>45722</v>
      </c>
      <c r="H846">
        <f t="shared" si="9"/>
        <v>704.71604407031884</v>
      </c>
      <c r="I846" s="9">
        <f t="shared" si="10"/>
        <v>-202.05462645906573</v>
      </c>
      <c r="J846" s="9">
        <f t="shared" si="11"/>
        <v>1611.4867145997034</v>
      </c>
    </row>
    <row r="847" spans="1:10" x14ac:dyDescent="0.2">
      <c r="A847" s="7">
        <v>45723</v>
      </c>
      <c r="C847">
        <f t="shared" si="6"/>
        <v>1.006355716237294</v>
      </c>
      <c r="D847" s="9">
        <f t="shared" si="7"/>
        <v>-0.75752151652698929</v>
      </c>
      <c r="E847" s="9">
        <f t="shared" si="8"/>
        <v>2.7702329490015773</v>
      </c>
      <c r="F847" s="10">
        <v>45723</v>
      </c>
      <c r="H847">
        <f t="shared" si="9"/>
        <v>704.75407668378898</v>
      </c>
      <c r="I847" s="9">
        <f t="shared" si="10"/>
        <v>-207.15193548383502</v>
      </c>
      <c r="J847" s="9">
        <f t="shared" si="11"/>
        <v>1616.6600888514131</v>
      </c>
    </row>
    <row r="848" spans="1:10" x14ac:dyDescent="0.2">
      <c r="A848" s="7">
        <v>45724</v>
      </c>
      <c r="C848">
        <f t="shared" si="6"/>
        <v>1.0009351628195311</v>
      </c>
      <c r="D848" s="9">
        <f t="shared" si="7"/>
        <v>-0.77288837873976823</v>
      </c>
      <c r="E848" s="9">
        <f t="shared" si="8"/>
        <v>2.7747587043788302</v>
      </c>
      <c r="F848" s="10">
        <v>45724</v>
      </c>
      <c r="H848">
        <f t="shared" si="9"/>
        <v>704.79210929725946</v>
      </c>
      <c r="I848" s="9">
        <f t="shared" si="10"/>
        <v>-212.26130613926057</v>
      </c>
      <c r="J848" s="9">
        <f t="shared" si="11"/>
        <v>1621.8455247337795</v>
      </c>
    </row>
    <row r="849" spans="1:10" x14ac:dyDescent="0.2">
      <c r="A849" s="7">
        <v>45725</v>
      </c>
      <c r="C849">
        <f t="shared" si="6"/>
        <v>1.0075592471665873</v>
      </c>
      <c r="D849" s="9">
        <f t="shared" si="7"/>
        <v>-0.77623388950769612</v>
      </c>
      <c r="E849" s="9">
        <f t="shared" si="8"/>
        <v>2.7913523838408709</v>
      </c>
      <c r="F849" s="10">
        <v>45725</v>
      </c>
      <c r="H849">
        <f t="shared" si="9"/>
        <v>704.83014191072959</v>
      </c>
      <c r="I849" s="9">
        <f t="shared" si="10"/>
        <v>-217.38269849333244</v>
      </c>
      <c r="J849" s="9">
        <f t="shared" si="11"/>
        <v>1627.0429823147915</v>
      </c>
    </row>
    <row r="850" spans="1:10" x14ac:dyDescent="0.2">
      <c r="A850" s="7">
        <v>45726</v>
      </c>
      <c r="C850">
        <f t="shared" si="6"/>
        <v>1.0096377889025072</v>
      </c>
      <c r="D850" s="9">
        <f t="shared" si="7"/>
        <v>-0.7841481523025815</v>
      </c>
      <c r="E850" s="9">
        <f t="shared" si="8"/>
        <v>2.8034237301075962</v>
      </c>
      <c r="F850" s="10">
        <v>45726</v>
      </c>
      <c r="H850">
        <f t="shared" si="9"/>
        <v>704.86817452420007</v>
      </c>
      <c r="I850" s="9">
        <f t="shared" si="10"/>
        <v>-222.51607303412379</v>
      </c>
      <c r="J850" s="9">
        <f t="shared" si="11"/>
        <v>1632.2524220825239</v>
      </c>
    </row>
    <row r="851" spans="1:10" x14ac:dyDescent="0.2">
      <c r="A851" s="7">
        <v>45727</v>
      </c>
      <c r="C851">
        <f t="shared" ref="C851:C903" si="12">_xlfn.FORECAST.ETS(A851,$B$2:$B$722,$A$2:$A$722,1,1)</f>
        <v>0.98675019117580487</v>
      </c>
      <c r="D851" s="9">
        <f t="shared" ref="D851:D903" si="13">C851-_xlfn.FORECAST.ETS.CONFINT(A851,$B$2:$B$722,$A$2:$A$722,0.95,1,1)</f>
        <v>-0.81713048766757435</v>
      </c>
      <c r="E851" s="9">
        <f t="shared" ref="E851:E903" si="14">C851+_xlfn.FORECAST.ETS.CONFINT(A851,$B$2:$B$722,$A$2:$A$722,0.95,1,1)</f>
        <v>2.790630870019184</v>
      </c>
      <c r="F851" s="10">
        <v>45727</v>
      </c>
      <c r="H851">
        <f t="shared" ref="H851:H903" si="15">_xlfn.FORECAST.ETS(F851,$G$2:$G$722,$F$2:$F$722,1,1)</f>
        <v>704.90620713767021</v>
      </c>
      <c r="I851" s="9">
        <f t="shared" ref="I851:I903" si="16">H851-_xlfn.FORECAST.ETS.CONFINT(F851,$G$2:$G$722,$F$2:$F$722,0.95,1,1)</f>
        <v>-227.66139066325729</v>
      </c>
      <c r="J851" s="9">
        <f t="shared" ref="J851:J903" si="17">H851+_xlfn.FORECAST.ETS.CONFINT(F851,$G$2:$G$722,$F$2:$F$722,0.95,1,1)</f>
        <v>1637.4738049385978</v>
      </c>
    </row>
    <row r="852" spans="1:10" x14ac:dyDescent="0.2">
      <c r="A852" s="7">
        <v>45728</v>
      </c>
      <c r="C852">
        <f t="shared" si="12"/>
        <v>0.98400483038819442</v>
      </c>
      <c r="D852" s="9">
        <f t="shared" si="13"/>
        <v>-0.8299144082064781</v>
      </c>
      <c r="E852" s="9">
        <f t="shared" si="14"/>
        <v>2.7979240689828671</v>
      </c>
      <c r="F852" s="10">
        <v>45728</v>
      </c>
      <c r="H852">
        <f t="shared" si="15"/>
        <v>704.9442397511408</v>
      </c>
      <c r="I852" s="9">
        <f t="shared" si="16"/>
        <v>-232.81861268948853</v>
      </c>
      <c r="J852" s="9">
        <f t="shared" si="17"/>
        <v>1642.7070921917702</v>
      </c>
    </row>
    <row r="853" spans="1:10" x14ac:dyDescent="0.2">
      <c r="A853" s="7">
        <v>45729</v>
      </c>
      <c r="C853">
        <f t="shared" si="12"/>
        <v>0.98830896104655852</v>
      </c>
      <c r="D853" s="9">
        <f t="shared" si="13"/>
        <v>-0.83567182460923828</v>
      </c>
      <c r="E853" s="9">
        <f t="shared" si="14"/>
        <v>2.8122897467023553</v>
      </c>
      <c r="F853" s="10">
        <v>45729</v>
      </c>
      <c r="H853">
        <f t="shared" si="15"/>
        <v>704.98227236461082</v>
      </c>
      <c r="I853" s="9">
        <f t="shared" si="16"/>
        <v>-237.98770082241094</v>
      </c>
      <c r="J853" s="9">
        <f t="shared" si="17"/>
        <v>1647.9522455516326</v>
      </c>
    </row>
    <row r="854" spans="1:10" x14ac:dyDescent="0.2">
      <c r="A854" s="7">
        <v>45730</v>
      </c>
      <c r="C854">
        <f t="shared" si="12"/>
        <v>1.0101962714772994</v>
      </c>
      <c r="D854" s="9">
        <f t="shared" si="13"/>
        <v>-0.8238689747528789</v>
      </c>
      <c r="E854" s="9">
        <f t="shared" si="14"/>
        <v>2.8442615177074777</v>
      </c>
      <c r="F854" s="10">
        <v>45730</v>
      </c>
      <c r="H854">
        <f t="shared" si="15"/>
        <v>705.02030497808141</v>
      </c>
      <c r="I854" s="9">
        <f t="shared" si="16"/>
        <v>-243.16861716627068</v>
      </c>
      <c r="J854" s="9">
        <f t="shared" si="17"/>
        <v>1653.2092271224335</v>
      </c>
    </row>
    <row r="855" spans="1:10" x14ac:dyDescent="0.2">
      <c r="A855" s="7">
        <v>45731</v>
      </c>
      <c r="C855">
        <f t="shared" si="12"/>
        <v>1.0069580780437006</v>
      </c>
      <c r="D855" s="9">
        <f t="shared" si="13"/>
        <v>-0.83721446923577969</v>
      </c>
      <c r="E855" s="9">
        <f t="shared" si="14"/>
        <v>2.8511306253231812</v>
      </c>
      <c r="F855" s="10">
        <v>45731</v>
      </c>
      <c r="H855">
        <f t="shared" si="15"/>
        <v>705.05833759155144</v>
      </c>
      <c r="I855" s="9">
        <f t="shared" si="16"/>
        <v>-248.36132421390357</v>
      </c>
      <c r="J855" s="9">
        <f t="shared" si="17"/>
        <v>1658.4779993970064</v>
      </c>
    </row>
    <row r="856" spans="1:10" x14ac:dyDescent="0.2">
      <c r="A856" s="7">
        <v>45732</v>
      </c>
      <c r="C856">
        <f t="shared" si="12"/>
        <v>1.0015375246259377</v>
      </c>
      <c r="D856" s="9">
        <f t="shared" si="13"/>
        <v>-0.8527650918860592</v>
      </c>
      <c r="E856" s="9">
        <f t="shared" si="14"/>
        <v>2.8558401411379348</v>
      </c>
      <c r="F856" s="10">
        <v>45732</v>
      </c>
      <c r="H856">
        <f t="shared" si="15"/>
        <v>705.09637020502203</v>
      </c>
      <c r="I856" s="9">
        <f t="shared" si="16"/>
        <v>-253.56578484077272</v>
      </c>
      <c r="J856" s="9">
        <f t="shared" si="17"/>
        <v>1663.7585252508168</v>
      </c>
    </row>
    <row r="857" spans="1:10" x14ac:dyDescent="0.2">
      <c r="A857" s="7">
        <v>45733</v>
      </c>
      <c r="C857">
        <f t="shared" si="12"/>
        <v>1.0081616089729939</v>
      </c>
      <c r="D857" s="9">
        <f t="shared" si="13"/>
        <v>-0.85629377339826163</v>
      </c>
      <c r="E857" s="9">
        <f t="shared" si="14"/>
        <v>2.8726169913442492</v>
      </c>
      <c r="F857" s="10">
        <v>45733</v>
      </c>
      <c r="H857">
        <f t="shared" si="15"/>
        <v>705.13440281849205</v>
      </c>
      <c r="I857" s="9">
        <f t="shared" si="16"/>
        <v>-258.78196229912567</v>
      </c>
      <c r="J857" s="9">
        <f t="shared" si="17"/>
        <v>1669.0507679361099</v>
      </c>
    </row>
    <row r="858" spans="1:10" x14ac:dyDescent="0.2">
      <c r="A858" s="7">
        <v>45734</v>
      </c>
      <c r="C858">
        <f t="shared" si="12"/>
        <v>1.0102401507089138</v>
      </c>
      <c r="D858" s="9">
        <f t="shared" si="13"/>
        <v>-0.86439062331591754</v>
      </c>
      <c r="E858" s="9">
        <f t="shared" si="14"/>
        <v>2.884870924733745</v>
      </c>
      <c r="F858" s="10">
        <v>45734</v>
      </c>
      <c r="H858">
        <f t="shared" si="15"/>
        <v>705.17243543196264</v>
      </c>
      <c r="I858" s="9">
        <f t="shared" si="16"/>
        <v>-264.00982021224934</v>
      </c>
      <c r="J858" s="9">
        <f t="shared" si="17"/>
        <v>1674.3546910761747</v>
      </c>
    </row>
    <row r="859" spans="1:10" x14ac:dyDescent="0.2">
      <c r="A859" s="7">
        <v>45735</v>
      </c>
      <c r="C859">
        <f t="shared" si="12"/>
        <v>0.98735255298221158</v>
      </c>
      <c r="D859" s="9">
        <f t="shared" si="13"/>
        <v>-0.89755395125620807</v>
      </c>
      <c r="E859" s="9">
        <f t="shared" si="14"/>
        <v>2.8722590572206315</v>
      </c>
      <c r="F859" s="10">
        <v>45735</v>
      </c>
      <c r="H859">
        <f t="shared" si="15"/>
        <v>705.21046804543278</v>
      </c>
      <c r="I859" s="9">
        <f t="shared" si="16"/>
        <v>-269.24932256883858</v>
      </c>
      <c r="J859" s="9">
        <f t="shared" si="17"/>
        <v>1679.6702586597041</v>
      </c>
    </row>
    <row r="860" spans="1:10" x14ac:dyDescent="0.2">
      <c r="A860" s="7">
        <v>45736</v>
      </c>
      <c r="C860">
        <f t="shared" si="12"/>
        <v>0.98460719219460102</v>
      </c>
      <c r="D860" s="9">
        <f t="shared" si="13"/>
        <v>-0.91051932614649933</v>
      </c>
      <c r="E860" s="9">
        <f t="shared" si="14"/>
        <v>2.8797337105357013</v>
      </c>
      <c r="F860" s="10">
        <v>45736</v>
      </c>
      <c r="H860">
        <f t="shared" si="15"/>
        <v>705.24850065890325</v>
      </c>
      <c r="I860" s="9">
        <f t="shared" si="16"/>
        <v>-274.50043371745789</v>
      </c>
      <c r="J860" s="9">
        <f t="shared" si="17"/>
        <v>1684.9974350352645</v>
      </c>
    </row>
    <row r="861" spans="1:10" x14ac:dyDescent="0.2">
      <c r="A861" s="7">
        <v>45737</v>
      </c>
      <c r="C861">
        <f t="shared" si="12"/>
        <v>0.98891132285296535</v>
      </c>
      <c r="D861" s="9">
        <f t="shared" si="13"/>
        <v>-0.91645763071815356</v>
      </c>
      <c r="E861" s="9">
        <f t="shared" si="14"/>
        <v>2.8942802764240843</v>
      </c>
      <c r="F861" s="10">
        <v>45737</v>
      </c>
      <c r="H861">
        <f t="shared" si="15"/>
        <v>705.28653327237339</v>
      </c>
      <c r="I861" s="9">
        <f t="shared" si="16"/>
        <v>-279.76311836111427</v>
      </c>
      <c r="J861" s="9">
        <f t="shared" si="17"/>
        <v>1690.336184905861</v>
      </c>
    </row>
    <row r="862" spans="1:10" x14ac:dyDescent="0.2">
      <c r="A862" s="7">
        <v>45738</v>
      </c>
      <c r="C862">
        <f t="shared" si="12"/>
        <v>1.0107986332837062</v>
      </c>
      <c r="D862" s="9">
        <f t="shared" si="13"/>
        <v>-0.90483510856032145</v>
      </c>
      <c r="E862" s="9">
        <f t="shared" si="14"/>
        <v>2.9264323751277339</v>
      </c>
      <c r="F862" s="10">
        <v>45738</v>
      </c>
      <c r="H862">
        <f t="shared" si="15"/>
        <v>705.32456588584387</v>
      </c>
      <c r="I862" s="9">
        <f t="shared" si="16"/>
        <v>-285.03734155191933</v>
      </c>
      <c r="J862" s="9">
        <f t="shared" si="17"/>
        <v>1695.6864733236071</v>
      </c>
    </row>
    <row r="863" spans="1:10" x14ac:dyDescent="0.2">
      <c r="A863" s="7">
        <v>45739</v>
      </c>
      <c r="C863">
        <f t="shared" si="12"/>
        <v>1.0075604398501072</v>
      </c>
      <c r="D863" s="9">
        <f t="shared" si="13"/>
        <v>-0.91836037589687969</v>
      </c>
      <c r="E863" s="9">
        <f t="shared" si="14"/>
        <v>2.9334812555970942</v>
      </c>
      <c r="F863" s="10">
        <v>45739</v>
      </c>
      <c r="H863">
        <f t="shared" si="15"/>
        <v>705.362598499314</v>
      </c>
      <c r="I863" s="9">
        <f t="shared" si="16"/>
        <v>-290.3230686858567</v>
      </c>
      <c r="J863" s="9">
        <f t="shared" si="17"/>
        <v>1701.0482656844847</v>
      </c>
    </row>
    <row r="864" spans="1:10" x14ac:dyDescent="0.2">
      <c r="A864" s="7">
        <v>45740</v>
      </c>
      <c r="C864">
        <f t="shared" si="12"/>
        <v>1.0021398864323445</v>
      </c>
      <c r="D864" s="9">
        <f t="shared" si="13"/>
        <v>-0.93409022209639114</v>
      </c>
      <c r="E864" s="9">
        <f t="shared" si="14"/>
        <v>2.9383699949610804</v>
      </c>
      <c r="F864" s="10">
        <v>45740</v>
      </c>
      <c r="H864">
        <f t="shared" si="15"/>
        <v>705.40063111278448</v>
      </c>
      <c r="I864" s="9">
        <f t="shared" si="16"/>
        <v>-295.62026549763675</v>
      </c>
      <c r="J864" s="9">
        <f t="shared" si="17"/>
        <v>1706.4215277232056</v>
      </c>
    </row>
    <row r="865" spans="1:10" x14ac:dyDescent="0.2">
      <c r="A865" s="7">
        <v>45741</v>
      </c>
      <c r="C865">
        <f t="shared" si="12"/>
        <v>1.0087639707794005</v>
      </c>
      <c r="D865" s="9">
        <f t="shared" si="13"/>
        <v>-0.93779758331033869</v>
      </c>
      <c r="E865" s="9">
        <f t="shared" si="14"/>
        <v>2.9553255248691395</v>
      </c>
      <c r="F865" s="10">
        <v>45741</v>
      </c>
      <c r="H865">
        <f t="shared" si="15"/>
        <v>705.43866372625462</v>
      </c>
      <c r="I865" s="9">
        <f t="shared" si="16"/>
        <v>-300.92889805565176</v>
      </c>
      <c r="J865" s="9">
        <f t="shared" si="17"/>
        <v>1711.8062255081609</v>
      </c>
    </row>
    <row r="866" spans="1:10" x14ac:dyDescent="0.2">
      <c r="A866" s="7">
        <v>45742</v>
      </c>
      <c r="C866">
        <f t="shared" si="12"/>
        <v>1.0108425125153206</v>
      </c>
      <c r="D866" s="9">
        <f t="shared" si="13"/>
        <v>-0.94607257445719584</v>
      </c>
      <c r="E866" s="9">
        <f t="shared" si="14"/>
        <v>2.9677575994878369</v>
      </c>
      <c r="F866" s="10">
        <v>45742</v>
      </c>
      <c r="H866">
        <f t="shared" si="15"/>
        <v>705.47669633972509</v>
      </c>
      <c r="I866" s="9">
        <f t="shared" si="16"/>
        <v>-306.24893275701595</v>
      </c>
      <c r="J866" s="9">
        <f t="shared" si="17"/>
        <v>1717.2023254364663</v>
      </c>
    </row>
    <row r="867" spans="1:10" x14ac:dyDescent="0.2">
      <c r="A867" s="7">
        <v>45743</v>
      </c>
      <c r="C867">
        <f t="shared" si="12"/>
        <v>0.98795491478861819</v>
      </c>
      <c r="D867" s="9">
        <f t="shared" si="13"/>
        <v>-0.97941252131057133</v>
      </c>
      <c r="E867" s="9">
        <f t="shared" si="14"/>
        <v>2.9553223508878075</v>
      </c>
      <c r="F867" s="10">
        <v>45743</v>
      </c>
      <c r="H867">
        <f t="shared" si="15"/>
        <v>705.51472895319523</v>
      </c>
      <c r="I867" s="9">
        <f t="shared" si="16"/>
        <v>-311.58033632270042</v>
      </c>
      <c r="J867" s="9">
        <f t="shared" si="17"/>
        <v>1722.6097942290908</v>
      </c>
    </row>
    <row r="868" spans="1:10" x14ac:dyDescent="0.2">
      <c r="A868" s="7">
        <v>45744</v>
      </c>
      <c r="C868">
        <f t="shared" si="12"/>
        <v>0.98520955400100785</v>
      </c>
      <c r="D868" s="9">
        <f t="shared" si="13"/>
        <v>-0.99255499205252684</v>
      </c>
      <c r="E868" s="9">
        <f t="shared" si="14"/>
        <v>2.9629741000545424</v>
      </c>
      <c r="F868" s="10">
        <v>45744</v>
      </c>
      <c r="H868">
        <f t="shared" si="15"/>
        <v>705.55276156666582</v>
      </c>
      <c r="I868" s="9">
        <f t="shared" si="16"/>
        <v>-316.92307579275064</v>
      </c>
      <c r="J868" s="9">
        <f t="shared" si="17"/>
        <v>1728.0285989260824</v>
      </c>
    </row>
    <row r="869" spans="1:10" x14ac:dyDescent="0.2">
      <c r="A869" s="7">
        <v>45745</v>
      </c>
      <c r="C869">
        <f t="shared" si="12"/>
        <v>0.98951368465937195</v>
      </c>
      <c r="D869" s="9">
        <f t="shared" si="13"/>
        <v>-0.99866986944178615</v>
      </c>
      <c r="E869" s="9">
        <f t="shared" si="14"/>
        <v>2.9776972387605301</v>
      </c>
      <c r="F869" s="10">
        <v>45745</v>
      </c>
      <c r="H869">
        <f t="shared" si="15"/>
        <v>705.59079418013584</v>
      </c>
      <c r="I869" s="9">
        <f t="shared" si="16"/>
        <v>-322.27711852159632</v>
      </c>
      <c r="J869" s="9">
        <f t="shared" si="17"/>
        <v>1733.458706881868</v>
      </c>
    </row>
    <row r="870" spans="1:10" x14ac:dyDescent="0.2">
      <c r="A870" s="7">
        <v>45746</v>
      </c>
      <c r="C870">
        <f t="shared" si="12"/>
        <v>1.0114009950901128</v>
      </c>
      <c r="D870" s="9">
        <f t="shared" si="13"/>
        <v>-0.9872234021319708</v>
      </c>
      <c r="E870" s="9">
        <f t="shared" si="14"/>
        <v>3.0100253923121967</v>
      </c>
      <c r="F870" s="10">
        <v>45746</v>
      </c>
      <c r="H870">
        <f t="shared" si="15"/>
        <v>705.62882679360644</v>
      </c>
      <c r="I870" s="9">
        <f t="shared" si="16"/>
        <v>-327.64243217343812</v>
      </c>
      <c r="J870" s="9">
        <f t="shared" si="17"/>
        <v>1738.9000857606511</v>
      </c>
    </row>
    <row r="871" spans="1:10" x14ac:dyDescent="0.2">
      <c r="A871" s="7">
        <v>45747</v>
      </c>
      <c r="C871">
        <f t="shared" si="12"/>
        <v>1.0081628016565141</v>
      </c>
      <c r="D871" s="9">
        <f t="shared" si="13"/>
        <v>-1.0009242113365375</v>
      </c>
      <c r="E871" s="9">
        <f t="shared" si="14"/>
        <v>3.0172498146495657</v>
      </c>
      <c r="F871" s="10">
        <v>45747</v>
      </c>
      <c r="H871">
        <f t="shared" si="15"/>
        <v>705.66685940707646</v>
      </c>
      <c r="I871" s="9">
        <f t="shared" si="16"/>
        <v>-333.0189847177254</v>
      </c>
      <c r="J871" s="9">
        <f t="shared" si="17"/>
        <v>1744.3527035318784</v>
      </c>
    </row>
    <row r="872" spans="1:10" x14ac:dyDescent="0.2">
      <c r="A872" s="7">
        <v>45748</v>
      </c>
      <c r="C872">
        <f t="shared" si="12"/>
        <v>1.0027422482387511</v>
      </c>
      <c r="D872" s="9">
        <f t="shared" si="13"/>
        <v>-1.0168290913400868</v>
      </c>
      <c r="E872" s="9">
        <f t="shared" si="14"/>
        <v>3.0223135878175889</v>
      </c>
      <c r="F872" s="10">
        <v>45748</v>
      </c>
      <c r="H872">
        <f t="shared" si="15"/>
        <v>705.70489202054705</v>
      </c>
      <c r="I872" s="9">
        <f t="shared" si="16"/>
        <v>-338.40674442470504</v>
      </c>
      <c r="J872" s="9">
        <f t="shared" si="17"/>
        <v>1749.8165284657991</v>
      </c>
    </row>
    <row r="873" spans="1:10" x14ac:dyDescent="0.2">
      <c r="A873" s="7">
        <v>45749</v>
      </c>
      <c r="C873">
        <f t="shared" si="12"/>
        <v>1.0093663325858073</v>
      </c>
      <c r="D873" s="9">
        <f t="shared" si="13"/>
        <v>-1.0207109831379135</v>
      </c>
      <c r="E873" s="9">
        <f t="shared" si="14"/>
        <v>3.0394436483095282</v>
      </c>
      <c r="F873" s="10">
        <v>45749</v>
      </c>
      <c r="H873">
        <f t="shared" si="15"/>
        <v>705.74292463401707</v>
      </c>
      <c r="I873" s="9">
        <f t="shared" si="16"/>
        <v>-343.80567986106189</v>
      </c>
      <c r="J873" s="9">
        <f t="shared" si="17"/>
        <v>1755.291529129096</v>
      </c>
    </row>
    <row r="874" spans="1:10" x14ac:dyDescent="0.2">
      <c r="A874" s="7">
        <v>45750</v>
      </c>
      <c r="C874">
        <f t="shared" si="12"/>
        <v>1.0114448743217272</v>
      </c>
      <c r="D874" s="9">
        <f t="shared" si="13"/>
        <v>-1.0291600064213744</v>
      </c>
      <c r="E874" s="9">
        <f t="shared" si="14"/>
        <v>3.0520497550648287</v>
      </c>
      <c r="F874" s="10">
        <v>45750</v>
      </c>
      <c r="H874">
        <f t="shared" si="15"/>
        <v>705.78095724748766</v>
      </c>
      <c r="I874" s="9">
        <f t="shared" si="16"/>
        <v>-349.21575988562392</v>
      </c>
      <c r="J874" s="9">
        <f t="shared" si="17"/>
        <v>1760.7776743805994</v>
      </c>
    </row>
    <row r="875" spans="1:10" x14ac:dyDescent="0.2">
      <c r="A875" s="7">
        <v>45751</v>
      </c>
      <c r="C875">
        <f t="shared" si="12"/>
        <v>0.98855727659502501</v>
      </c>
      <c r="D875" s="9">
        <f t="shared" si="13"/>
        <v>-1.0626725302677864</v>
      </c>
      <c r="E875" s="9">
        <f t="shared" si="14"/>
        <v>3.0397870834578367</v>
      </c>
      <c r="F875" s="10">
        <v>45751</v>
      </c>
      <c r="H875">
        <f t="shared" si="15"/>
        <v>705.81898986095769</v>
      </c>
      <c r="I875" s="9">
        <f t="shared" si="16"/>
        <v>-354.63695364515627</v>
      </c>
      <c r="J875" s="9">
        <f t="shared" si="17"/>
        <v>1766.2749333670718</v>
      </c>
    </row>
    <row r="876" spans="1:10" x14ac:dyDescent="0.2">
      <c r="A876" s="7">
        <v>45752</v>
      </c>
      <c r="C876">
        <f t="shared" si="12"/>
        <v>0.98581191580741445</v>
      </c>
      <c r="D876" s="9">
        <f t="shared" si="13"/>
        <v>-1.0759880652315639</v>
      </c>
      <c r="E876" s="9">
        <f t="shared" si="14"/>
        <v>3.0476118968463926</v>
      </c>
      <c r="F876" s="10">
        <v>45752</v>
      </c>
      <c r="H876">
        <f t="shared" si="15"/>
        <v>705.85702247442828</v>
      </c>
      <c r="I876" s="9">
        <f t="shared" si="16"/>
        <v>-360.06923057021936</v>
      </c>
      <c r="J876" s="9">
        <f t="shared" si="17"/>
        <v>1771.7832755190759</v>
      </c>
    </row>
    <row r="877" spans="1:10" x14ac:dyDescent="0.2">
      <c r="A877" s="7">
        <v>45753</v>
      </c>
      <c r="C877">
        <f t="shared" si="12"/>
        <v>0.99011604646577855</v>
      </c>
      <c r="D877" s="9">
        <f t="shared" si="13"/>
        <v>-1.0822755221058509</v>
      </c>
      <c r="E877" s="9">
        <f t="shared" si="14"/>
        <v>3.0625076150374078</v>
      </c>
      <c r="F877" s="10">
        <v>45753</v>
      </c>
      <c r="H877">
        <f t="shared" si="15"/>
        <v>705.89505508789841</v>
      </c>
      <c r="I877" s="9">
        <f t="shared" si="16"/>
        <v>-365.51256037110954</v>
      </c>
      <c r="J877" s="9">
        <f t="shared" si="17"/>
        <v>1777.3026705469065</v>
      </c>
    </row>
    <row r="878" spans="1:10" x14ac:dyDescent="0.2">
      <c r="A878" s="7">
        <v>45754</v>
      </c>
      <c r="C878">
        <f t="shared" si="12"/>
        <v>1.0120033568965197</v>
      </c>
      <c r="D878" s="9">
        <f t="shared" si="13"/>
        <v>-1.0710011540486015</v>
      </c>
      <c r="E878" s="9">
        <f t="shared" si="14"/>
        <v>3.0950078678416411</v>
      </c>
      <c r="F878" s="10">
        <v>45754</v>
      </c>
      <c r="H878">
        <f t="shared" si="15"/>
        <v>705.93308770136889</v>
      </c>
      <c r="I878" s="9">
        <f t="shared" si="16"/>
        <v>-370.96691303386285</v>
      </c>
      <c r="J878" s="9">
        <f t="shared" si="17"/>
        <v>1782.8330884366005</v>
      </c>
    </row>
    <row r="879" spans="1:10" x14ac:dyDescent="0.2">
      <c r="A879" s="7">
        <v>45755</v>
      </c>
      <c r="C879">
        <f t="shared" si="12"/>
        <v>1.0087651634629207</v>
      </c>
      <c r="D879" s="9">
        <f t="shared" si="13"/>
        <v>-1.0848735867127381</v>
      </c>
      <c r="E879" s="9">
        <f t="shared" si="14"/>
        <v>3.1024039136385797</v>
      </c>
      <c r="F879" s="10">
        <v>45755</v>
      </c>
      <c r="H879">
        <f t="shared" si="15"/>
        <v>705.97112031483903</v>
      </c>
      <c r="I879" s="9">
        <f t="shared" si="16"/>
        <v>-376.43225881633862</v>
      </c>
      <c r="J879" s="9">
        <f t="shared" si="17"/>
        <v>1788.3744994460167</v>
      </c>
    </row>
    <row r="880" spans="1:10" x14ac:dyDescent="0.2">
      <c r="A880" s="7">
        <v>45756</v>
      </c>
      <c r="C880">
        <f t="shared" si="12"/>
        <v>1.003344610045158</v>
      </c>
      <c r="D880" s="9">
        <f t="shared" si="13"/>
        <v>-1.1009496187586054</v>
      </c>
      <c r="E880" s="9">
        <f t="shared" si="14"/>
        <v>3.1076388388489216</v>
      </c>
      <c r="F880" s="10">
        <v>45756</v>
      </c>
      <c r="H880">
        <f t="shared" si="15"/>
        <v>706.0091529283095</v>
      </c>
      <c r="I880" s="9">
        <f t="shared" si="16"/>
        <v>-381.90856824436378</v>
      </c>
      <c r="J880" s="9">
        <f t="shared" si="17"/>
        <v>1793.9268741009828</v>
      </c>
    </row>
    <row r="881" spans="1:10" x14ac:dyDescent="0.2">
      <c r="A881" s="7">
        <v>45757</v>
      </c>
      <c r="C881">
        <f t="shared" si="12"/>
        <v>1.0099686943922139</v>
      </c>
      <c r="D881" s="9">
        <f t="shared" si="13"/>
        <v>-1.105002195494653</v>
      </c>
      <c r="E881" s="9">
        <f t="shared" si="14"/>
        <v>3.1249395842790806</v>
      </c>
      <c r="F881" s="10">
        <v>45757</v>
      </c>
      <c r="H881">
        <f t="shared" si="15"/>
        <v>706.04718554177964</v>
      </c>
      <c r="I881" s="9">
        <f t="shared" si="16"/>
        <v>-387.39581210795052</v>
      </c>
      <c r="J881" s="9">
        <f t="shared" si="17"/>
        <v>1799.4901831915099</v>
      </c>
    </row>
    <row r="882" spans="1:10" x14ac:dyDescent="0.2">
      <c r="A882" s="7">
        <v>45758</v>
      </c>
      <c r="C882">
        <f t="shared" si="12"/>
        <v>1.0120472361281341</v>
      </c>
      <c r="D882" s="9">
        <f t="shared" si="13"/>
        <v>-1.1136214408639045</v>
      </c>
      <c r="E882" s="9">
        <f t="shared" si="14"/>
        <v>3.1377159131201724</v>
      </c>
      <c r="F882" s="10">
        <v>45758</v>
      </c>
      <c r="H882">
        <f t="shared" si="15"/>
        <v>706.08521815525012</v>
      </c>
      <c r="I882" s="9">
        <f t="shared" si="16"/>
        <v>-392.89396145757757</v>
      </c>
      <c r="J882" s="9">
        <f t="shared" si="17"/>
        <v>1805.0643977680779</v>
      </c>
    </row>
    <row r="883" spans="1:10" x14ac:dyDescent="0.2">
      <c r="A883" s="7">
        <v>45759</v>
      </c>
      <c r="C883">
        <f t="shared" si="12"/>
        <v>0.98915963840143162</v>
      </c>
      <c r="D883" s="9">
        <f t="shared" si="13"/>
        <v>-1.1473027941925862</v>
      </c>
      <c r="E883" s="9">
        <f t="shared" si="14"/>
        <v>3.1256220709954494</v>
      </c>
      <c r="F883" s="10">
        <v>45759</v>
      </c>
      <c r="H883">
        <f t="shared" si="15"/>
        <v>706.12325076872025</v>
      </c>
      <c r="I883" s="9">
        <f t="shared" si="16"/>
        <v>-398.40298760053838</v>
      </c>
      <c r="J883" s="9">
        <f t="shared" si="17"/>
        <v>1810.6494891379789</v>
      </c>
    </row>
    <row r="884" spans="1:10" x14ac:dyDescent="0.2">
      <c r="A884" s="7">
        <v>45760</v>
      </c>
      <c r="C884">
        <f t="shared" si="12"/>
        <v>0.98641427761382106</v>
      </c>
      <c r="D884" s="9">
        <f t="shared" si="13"/>
        <v>-1.1607876522069436</v>
      </c>
      <c r="E884" s="9">
        <f t="shared" si="14"/>
        <v>3.1336162074345859</v>
      </c>
      <c r="F884" s="10">
        <v>45760</v>
      </c>
      <c r="H884">
        <f t="shared" si="15"/>
        <v>706.16128338219073</v>
      </c>
      <c r="I884" s="9">
        <f t="shared" si="16"/>
        <v>-403.9228620973513</v>
      </c>
      <c r="J884" s="9">
        <f t="shared" si="17"/>
        <v>1816.2454288617328</v>
      </c>
    </row>
    <row r="885" spans="1:10" x14ac:dyDescent="0.2">
      <c r="A885" s="7">
        <v>45761</v>
      </c>
      <c r="C885">
        <f t="shared" si="12"/>
        <v>0.99071840827218538</v>
      </c>
      <c r="D885" s="9">
        <f t="shared" si="13"/>
        <v>-1.1672439814942568</v>
      </c>
      <c r="E885" s="9">
        <f t="shared" si="14"/>
        <v>3.1486807980386278</v>
      </c>
      <c r="F885" s="10">
        <v>45761</v>
      </c>
      <c r="H885">
        <f t="shared" si="15"/>
        <v>706.19931599566087</v>
      </c>
      <c r="I885" s="9">
        <f t="shared" si="16"/>
        <v>-409.45355675823555</v>
      </c>
      <c r="J885" s="9">
        <f t="shared" si="17"/>
        <v>1821.8521887495572</v>
      </c>
    </row>
    <row r="886" spans="1:10" x14ac:dyDescent="0.2">
      <c r="A886" s="7">
        <v>45762</v>
      </c>
      <c r="C886">
        <f t="shared" si="12"/>
        <v>1.0126057187029263</v>
      </c>
      <c r="D886" s="9">
        <f t="shared" si="13"/>
        <v>-1.1561380392313558</v>
      </c>
      <c r="E886" s="9">
        <f t="shared" si="14"/>
        <v>3.1813494766372084</v>
      </c>
      <c r="F886" s="10">
        <v>45762</v>
      </c>
      <c r="H886">
        <f t="shared" si="15"/>
        <v>706.23734860913146</v>
      </c>
      <c r="I886" s="9">
        <f t="shared" si="16"/>
        <v>-414.99504363964274</v>
      </c>
      <c r="J886" s="9">
        <f t="shared" si="17"/>
        <v>1827.4697408579057</v>
      </c>
    </row>
    <row r="887" spans="1:10" x14ac:dyDescent="0.2">
      <c r="A887" s="7">
        <v>45763</v>
      </c>
      <c r="C887">
        <f t="shared" si="12"/>
        <v>1.0093675252693275</v>
      </c>
      <c r="D887" s="9">
        <f t="shared" si="13"/>
        <v>-1.1701784550337269</v>
      </c>
      <c r="E887" s="9">
        <f t="shared" si="14"/>
        <v>3.1889135055723816</v>
      </c>
      <c r="F887" s="10">
        <v>45763</v>
      </c>
      <c r="H887">
        <f t="shared" si="15"/>
        <v>706.27538122260148</v>
      </c>
      <c r="I887" s="9">
        <f t="shared" si="16"/>
        <v>-420.5472950408564</v>
      </c>
      <c r="J887" s="9">
        <f t="shared" si="17"/>
        <v>1833.0980574860594</v>
      </c>
    </row>
    <row r="888" spans="1:10" x14ac:dyDescent="0.2">
      <c r="A888" s="7">
        <v>45764</v>
      </c>
      <c r="C888">
        <f t="shared" si="12"/>
        <v>1.0039469718515646</v>
      </c>
      <c r="D888" s="9">
        <f t="shared" si="13"/>
        <v>-1.1864220314689473</v>
      </c>
      <c r="E888" s="9">
        <f t="shared" si="14"/>
        <v>3.1943159751720764</v>
      </c>
      <c r="F888" s="10">
        <v>45764</v>
      </c>
      <c r="H888">
        <f t="shared" si="15"/>
        <v>706.31341383607207</v>
      </c>
      <c r="I888" s="9">
        <f t="shared" si="16"/>
        <v>-426.11028350064237</v>
      </c>
      <c r="J888" s="9">
        <f t="shared" si="17"/>
        <v>1838.7371111727866</v>
      </c>
    </row>
    <row r="889" spans="1:10" x14ac:dyDescent="0.2">
      <c r="A889" s="7">
        <v>45765</v>
      </c>
      <c r="C889">
        <f t="shared" si="12"/>
        <v>1.0105710561986208</v>
      </c>
      <c r="D889" s="9">
        <f t="shared" si="13"/>
        <v>-1.1906417176983319</v>
      </c>
      <c r="E889" s="9">
        <f t="shared" si="14"/>
        <v>3.2117838300955732</v>
      </c>
      <c r="F889" s="10">
        <v>45765</v>
      </c>
      <c r="H889">
        <f t="shared" si="15"/>
        <v>706.3514464495421</v>
      </c>
      <c r="I889" s="9">
        <f t="shared" si="16"/>
        <v>-431.68398179396524</v>
      </c>
      <c r="J889" s="9">
        <f t="shared" si="17"/>
        <v>1844.3868746930493</v>
      </c>
    </row>
    <row r="890" spans="1:10" x14ac:dyDescent="0.2">
      <c r="A890" s="7">
        <v>45766</v>
      </c>
      <c r="C890">
        <f t="shared" si="12"/>
        <v>1.0126495979345407</v>
      </c>
      <c r="D890" s="9">
        <f t="shared" si="13"/>
        <v>-1.1994276414643466</v>
      </c>
      <c r="E890" s="9">
        <f t="shared" si="14"/>
        <v>3.2247268373334279</v>
      </c>
      <c r="F890" s="10">
        <v>45766</v>
      </c>
      <c r="H890">
        <f t="shared" si="15"/>
        <v>706.38947906301269</v>
      </c>
      <c r="I890" s="9">
        <f t="shared" si="16"/>
        <v>-437.26836292875305</v>
      </c>
      <c r="J890" s="9">
        <f t="shared" si="17"/>
        <v>1850.0473210547784</v>
      </c>
    </row>
    <row r="891" spans="1:10" x14ac:dyDescent="0.2">
      <c r="A891" s="7">
        <v>45767</v>
      </c>
      <c r="C891">
        <f t="shared" si="12"/>
        <v>0.98976200020783822</v>
      </c>
      <c r="D891" s="9">
        <f t="shared" si="13"/>
        <v>-1.2332743388881304</v>
      </c>
      <c r="E891" s="9">
        <f t="shared" si="14"/>
        <v>3.2127983393038066</v>
      </c>
      <c r="F891" s="10">
        <v>45767</v>
      </c>
      <c r="H891">
        <f t="shared" si="15"/>
        <v>706.42751167648271</v>
      </c>
      <c r="I891" s="9">
        <f t="shared" si="16"/>
        <v>-442.8634001427256</v>
      </c>
      <c r="J891" s="9">
        <f t="shared" si="17"/>
        <v>1855.718423495691</v>
      </c>
    </row>
    <row r="892" spans="1:10" x14ac:dyDescent="0.2">
      <c r="A892" s="7">
        <v>45768</v>
      </c>
      <c r="C892">
        <f t="shared" si="12"/>
        <v>0.98701663942022788</v>
      </c>
      <c r="D892" s="9">
        <f t="shared" si="13"/>
        <v>-1.2469250377091923</v>
      </c>
      <c r="E892" s="9">
        <f t="shared" si="14"/>
        <v>3.2209583165496483</v>
      </c>
      <c r="F892" s="10">
        <v>45768</v>
      </c>
      <c r="H892">
        <f t="shared" si="15"/>
        <v>706.4655442899533</v>
      </c>
      <c r="I892" s="9">
        <f t="shared" si="16"/>
        <v>-448.46906690027015</v>
      </c>
      <c r="J892" s="9">
        <f t="shared" si="17"/>
        <v>1861.4001554801766</v>
      </c>
    </row>
    <row r="893" spans="1:10" x14ac:dyDescent="0.2">
      <c r="A893" s="7">
        <v>45769</v>
      </c>
      <c r="C893">
        <f t="shared" si="12"/>
        <v>0.99132077007859198</v>
      </c>
      <c r="D893" s="9">
        <f t="shared" si="13"/>
        <v>-1.2535467876240585</v>
      </c>
      <c r="E893" s="9">
        <f t="shared" si="14"/>
        <v>3.2361883277812424</v>
      </c>
      <c r="F893" s="10">
        <v>45769</v>
      </c>
      <c r="H893">
        <f t="shared" si="15"/>
        <v>706.50357690342344</v>
      </c>
      <c r="I893" s="9">
        <f t="shared" si="16"/>
        <v>-454.08533688937769</v>
      </c>
      <c r="J893" s="9">
        <f t="shared" si="17"/>
        <v>1867.0924906962246</v>
      </c>
    </row>
    <row r="894" spans="1:10" x14ac:dyDescent="0.2">
      <c r="A894" s="7">
        <v>45770</v>
      </c>
      <c r="C894">
        <f t="shared" si="12"/>
        <v>1.0132080805093331</v>
      </c>
      <c r="D894" s="9">
        <f t="shared" si="13"/>
        <v>-1.2426058494067198</v>
      </c>
      <c r="E894" s="9">
        <f t="shared" si="14"/>
        <v>3.269022010425386</v>
      </c>
      <c r="F894" s="10">
        <v>45770</v>
      </c>
      <c r="H894">
        <f t="shared" si="15"/>
        <v>706.54160951689391</v>
      </c>
      <c r="I894" s="9">
        <f t="shared" si="16"/>
        <v>-459.71218401862393</v>
      </c>
      <c r="J894" s="9">
        <f t="shared" si="17"/>
        <v>1872.7954030524118</v>
      </c>
    </row>
    <row r="895" spans="1:10" x14ac:dyDescent="0.2">
      <c r="A895" s="7">
        <v>45771</v>
      </c>
      <c r="C895">
        <f t="shared" si="12"/>
        <v>1.0099698870757341</v>
      </c>
      <c r="D895" s="9">
        <f t="shared" si="13"/>
        <v>-1.2568108562208162</v>
      </c>
      <c r="E895" s="9">
        <f t="shared" si="14"/>
        <v>3.2767506303722844</v>
      </c>
      <c r="F895" s="10">
        <v>45771</v>
      </c>
      <c r="H895">
        <f t="shared" si="15"/>
        <v>706.57964213036405</v>
      </c>
      <c r="I895" s="9">
        <f t="shared" si="16"/>
        <v>-465.34958241420884</v>
      </c>
      <c r="J895" s="9">
        <f t="shared" si="17"/>
        <v>1878.5088666749371</v>
      </c>
    </row>
    <row r="896" spans="1:10" x14ac:dyDescent="0.2">
      <c r="A896" s="7">
        <v>45772</v>
      </c>
      <c r="C896">
        <f t="shared" si="12"/>
        <v>1.0045493336579714</v>
      </c>
      <c r="D896" s="9">
        <f t="shared" si="13"/>
        <v>-1.2732186141339152</v>
      </c>
      <c r="E896" s="9">
        <f t="shared" si="14"/>
        <v>3.282317281449858</v>
      </c>
      <c r="F896" s="10">
        <v>45772</v>
      </c>
      <c r="H896">
        <f t="shared" si="15"/>
        <v>706.61767474383453</v>
      </c>
      <c r="I896" s="9">
        <f t="shared" si="16"/>
        <v>-470.99750641704111</v>
      </c>
      <c r="J896" s="9">
        <f t="shared" si="17"/>
        <v>1884.23285590471</v>
      </c>
    </row>
    <row r="897" spans="1:10" x14ac:dyDescent="0.2">
      <c r="A897" s="7">
        <v>45773</v>
      </c>
      <c r="C897">
        <f t="shared" si="12"/>
        <v>1.0111734180050274</v>
      </c>
      <c r="D897" s="9">
        <f t="shared" si="13"/>
        <v>-1.2776020757599773</v>
      </c>
      <c r="E897" s="9">
        <f t="shared" si="14"/>
        <v>3.299948911770032</v>
      </c>
      <c r="F897" s="10">
        <v>45773</v>
      </c>
      <c r="H897">
        <f t="shared" si="15"/>
        <v>706.65570735730466</v>
      </c>
      <c r="I897" s="9">
        <f t="shared" si="16"/>
        <v>-476.65593057987758</v>
      </c>
      <c r="J897" s="9">
        <f t="shared" si="17"/>
        <v>1889.9673452944869</v>
      </c>
    </row>
    <row r="898" spans="1:10" x14ac:dyDescent="0.2">
      <c r="A898" s="7">
        <v>45774</v>
      </c>
      <c r="C898">
        <f t="shared" si="12"/>
        <v>1.0132519597409473</v>
      </c>
      <c r="D898" s="9">
        <f t="shared" si="13"/>
        <v>-1.2865513722475785</v>
      </c>
      <c r="E898" s="9">
        <f t="shared" si="14"/>
        <v>3.3130552917294729</v>
      </c>
      <c r="F898" s="10">
        <v>45774</v>
      </c>
      <c r="H898">
        <f t="shared" si="15"/>
        <v>706.69373997077514</v>
      </c>
      <c r="I898" s="9">
        <f t="shared" si="16"/>
        <v>-482.32482966450266</v>
      </c>
      <c r="J898" s="9">
        <f t="shared" si="17"/>
        <v>1895.7123096060529</v>
      </c>
    </row>
    <row r="899" spans="1:10" x14ac:dyDescent="0.2">
      <c r="A899" s="7">
        <v>45775</v>
      </c>
      <c r="C899">
        <f t="shared" si="12"/>
        <v>0.99036436201424505</v>
      </c>
      <c r="D899" s="9">
        <f t="shared" si="13"/>
        <v>-1.3205601625165346</v>
      </c>
      <c r="E899" s="9">
        <f t="shared" si="14"/>
        <v>3.3012888865450245</v>
      </c>
      <c r="F899" s="10">
        <v>45775</v>
      </c>
      <c r="H899">
        <f t="shared" si="15"/>
        <v>706.73177258424528</v>
      </c>
      <c r="I899" s="9">
        <f t="shared" si="16"/>
        <v>-488.00417863896712</v>
      </c>
      <c r="J899" s="9">
        <f t="shared" si="17"/>
        <v>1901.4677238074578</v>
      </c>
    </row>
    <row r="900" spans="1:10" x14ac:dyDescent="0.2">
      <c r="A900" s="7">
        <v>45776</v>
      </c>
      <c r="C900">
        <f t="shared" si="12"/>
        <v>0.98761900122663449</v>
      </c>
      <c r="D900" s="9">
        <f t="shared" si="13"/>
        <v>-1.3343734514592263</v>
      </c>
      <c r="E900" s="9">
        <f t="shared" si="14"/>
        <v>3.309611453912495</v>
      </c>
      <c r="F900" s="10">
        <v>45776</v>
      </c>
      <c r="H900">
        <f t="shared" si="15"/>
        <v>706.76980519771575</v>
      </c>
      <c r="I900" s="9">
        <f t="shared" si="16"/>
        <v>-493.69395267486004</v>
      </c>
      <c r="J900" s="9">
        <f t="shared" si="17"/>
        <v>1907.2335630702914</v>
      </c>
    </row>
    <row r="901" spans="1:10" x14ac:dyDescent="0.2">
      <c r="A901" s="7">
        <v>45777</v>
      </c>
      <c r="C901">
        <f t="shared" si="12"/>
        <v>0.99192313188499881</v>
      </c>
      <c r="D901" s="9">
        <f t="shared" si="13"/>
        <v>-1.3411573986096701</v>
      </c>
      <c r="E901" s="9">
        <f t="shared" si="14"/>
        <v>3.3250036623796677</v>
      </c>
      <c r="F901" s="10">
        <v>45777</v>
      </c>
      <c r="H901">
        <f t="shared" si="15"/>
        <v>706.80783781118589</v>
      </c>
      <c r="I901" s="9">
        <f t="shared" si="16"/>
        <v>-499.3941271446397</v>
      </c>
      <c r="J901" s="9">
        <f t="shared" si="17"/>
        <v>1913.0098027670115</v>
      </c>
    </row>
    <row r="902" spans="1:10" x14ac:dyDescent="0.2">
      <c r="A902" s="7">
        <v>45778</v>
      </c>
      <c r="C902">
        <f t="shared" si="12"/>
        <v>1.0138104423157397</v>
      </c>
      <c r="D902" s="9">
        <f t="shared" si="13"/>
        <v>-1.3303782679717451</v>
      </c>
      <c r="E902" s="9">
        <f t="shared" si="14"/>
        <v>3.3579991526032247</v>
      </c>
      <c r="F902" s="10">
        <v>45778</v>
      </c>
      <c r="H902">
        <f t="shared" si="15"/>
        <v>706.84587042465648</v>
      </c>
      <c r="I902" s="9">
        <f t="shared" si="16"/>
        <v>-505.10467761899793</v>
      </c>
      <c r="J902" s="9">
        <f t="shared" si="17"/>
        <v>1918.796418468311</v>
      </c>
    </row>
    <row r="903" spans="1:10" x14ac:dyDescent="0.2">
      <c r="A903" s="7">
        <v>45779</v>
      </c>
      <c r="C903">
        <f t="shared" si="12"/>
        <v>1.0105722488821409</v>
      </c>
      <c r="D903" s="9">
        <f t="shared" si="13"/>
        <v>-1.3447446958962201</v>
      </c>
      <c r="E903" s="9">
        <f t="shared" si="14"/>
        <v>3.365889193660502</v>
      </c>
      <c r="F903" s="10">
        <v>45779</v>
      </c>
      <c r="H903">
        <f t="shared" si="15"/>
        <v>706.8839030381265</v>
      </c>
      <c r="I903" s="9">
        <f t="shared" si="16"/>
        <v>-510.82557986427753</v>
      </c>
      <c r="J903" s="9">
        <f t="shared" si="17"/>
        <v>1924.5933859405304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C8294-F622-4DE3-8390-9BA3EDE6CD83}">
  <sheetPr codeName="Folha5"/>
  <dimension ref="A1:I723"/>
  <sheetViews>
    <sheetView workbookViewId="0">
      <selection activeCell="F1" sqref="F1:G722"/>
    </sheetView>
  </sheetViews>
  <sheetFormatPr baseColWidth="10" defaultColWidth="8.83203125" defaultRowHeight="15" x14ac:dyDescent="0.2"/>
  <cols>
    <col min="1" max="1" width="17.6640625" customWidth="1"/>
    <col min="2" max="2" width="22.6640625" customWidth="1"/>
    <col min="3" max="3" width="12.33203125" customWidth="1"/>
    <col min="4" max="4" width="22.6640625" customWidth="1"/>
    <col min="6" max="6" width="14.5" customWidth="1"/>
    <col min="7" max="7" width="25.33203125" customWidth="1"/>
    <col min="8" max="8" width="13.6640625" customWidth="1"/>
    <col min="9" max="9" width="24.5" customWidth="1"/>
  </cols>
  <sheetData>
    <row r="1" spans="1:9" x14ac:dyDescent="0.2">
      <c r="A1" s="6" t="s">
        <v>413</v>
      </c>
      <c r="B1" s="6" t="s">
        <v>414</v>
      </c>
      <c r="C1" s="6" t="s">
        <v>413</v>
      </c>
      <c r="D1" s="6" t="s">
        <v>414</v>
      </c>
      <c r="F1" s="6" t="s">
        <v>413</v>
      </c>
      <c r="G1" s="6" t="s">
        <v>419</v>
      </c>
      <c r="H1" t="s">
        <v>413</v>
      </c>
      <c r="I1" t="s">
        <v>415</v>
      </c>
    </row>
    <row r="2" spans="1:9" x14ac:dyDescent="0.2">
      <c r="A2" s="7">
        <v>44878</v>
      </c>
      <c r="B2">
        <f t="shared" ref="B2:B65" si="0">IFERROR(VLOOKUP(A2,$C$2:$D$1000,2,FALSE),0)</f>
        <v>1</v>
      </c>
      <c r="C2" s="8">
        <v>44878</v>
      </c>
      <c r="D2">
        <v>1</v>
      </c>
      <c r="F2" s="10">
        <v>44878</v>
      </c>
      <c r="G2">
        <f>IFERROR(VLOOKUP(F2,$H$2:$I$1000,2,FALSE),0)</f>
        <v>450</v>
      </c>
      <c r="H2" s="11">
        <v>44878</v>
      </c>
      <c r="I2">
        <v>450</v>
      </c>
    </row>
    <row r="3" spans="1:9" x14ac:dyDescent="0.2">
      <c r="A3" s="7">
        <f>A2+1</f>
        <v>44879</v>
      </c>
      <c r="B3">
        <f t="shared" si="0"/>
        <v>0</v>
      </c>
      <c r="C3" s="8">
        <v>44909</v>
      </c>
      <c r="D3">
        <v>1</v>
      </c>
      <c r="F3" s="10">
        <f>F2+1</f>
        <v>44879</v>
      </c>
      <c r="G3">
        <f t="shared" ref="G3:G66" si="1">IFERROR(VLOOKUP(F3,$H$2:$I$1000,2,FALSE),0)</f>
        <v>0</v>
      </c>
      <c r="H3" s="11">
        <v>44909</v>
      </c>
      <c r="I3">
        <v>450</v>
      </c>
    </row>
    <row r="4" spans="1:9" x14ac:dyDescent="0.2">
      <c r="A4" s="7">
        <f t="shared" ref="A4:A67" si="2">A3+1</f>
        <v>44880</v>
      </c>
      <c r="B4">
        <f t="shared" si="0"/>
        <v>0</v>
      </c>
      <c r="C4" s="8">
        <v>44915</v>
      </c>
      <c r="D4">
        <v>1</v>
      </c>
      <c r="F4" s="10">
        <f t="shared" ref="F4:F67" si="3">F3+1</f>
        <v>44880</v>
      </c>
      <c r="G4">
        <f t="shared" si="1"/>
        <v>0</v>
      </c>
      <c r="H4" s="11">
        <v>44915</v>
      </c>
      <c r="I4">
        <v>700</v>
      </c>
    </row>
    <row r="5" spans="1:9" x14ac:dyDescent="0.2">
      <c r="A5" s="7">
        <f t="shared" si="2"/>
        <v>44881</v>
      </c>
      <c r="B5">
        <f t="shared" si="0"/>
        <v>0</v>
      </c>
      <c r="C5" s="8">
        <v>44921</v>
      </c>
      <c r="D5">
        <v>1</v>
      </c>
      <c r="F5" s="10">
        <f t="shared" si="3"/>
        <v>44881</v>
      </c>
      <c r="G5">
        <f t="shared" si="1"/>
        <v>0</v>
      </c>
      <c r="H5" s="11">
        <v>44921</v>
      </c>
      <c r="I5">
        <v>300</v>
      </c>
    </row>
    <row r="6" spans="1:9" x14ac:dyDescent="0.2">
      <c r="A6" s="7">
        <f t="shared" si="2"/>
        <v>44882</v>
      </c>
      <c r="B6">
        <f t="shared" si="0"/>
        <v>0</v>
      </c>
      <c r="C6" s="8">
        <v>44926</v>
      </c>
      <c r="D6">
        <v>1</v>
      </c>
      <c r="F6" s="10">
        <f t="shared" si="3"/>
        <v>44882</v>
      </c>
      <c r="G6">
        <f t="shared" si="1"/>
        <v>0</v>
      </c>
      <c r="H6" s="11">
        <v>44926</v>
      </c>
      <c r="I6">
        <v>450</v>
      </c>
    </row>
    <row r="7" spans="1:9" x14ac:dyDescent="0.2">
      <c r="A7" s="7">
        <f t="shared" si="2"/>
        <v>44883</v>
      </c>
      <c r="B7">
        <f t="shared" si="0"/>
        <v>0</v>
      </c>
      <c r="C7" s="8">
        <v>44937</v>
      </c>
      <c r="D7">
        <v>1</v>
      </c>
      <c r="F7" s="10">
        <f t="shared" si="3"/>
        <v>44883</v>
      </c>
      <c r="G7">
        <f t="shared" si="1"/>
        <v>0</v>
      </c>
      <c r="H7" s="11">
        <v>44937</v>
      </c>
      <c r="I7">
        <v>700</v>
      </c>
    </row>
    <row r="8" spans="1:9" x14ac:dyDescent="0.2">
      <c r="A8" s="7">
        <f t="shared" si="2"/>
        <v>44884</v>
      </c>
      <c r="B8">
        <f t="shared" si="0"/>
        <v>0</v>
      </c>
      <c r="C8" s="8">
        <v>44941</v>
      </c>
      <c r="D8">
        <v>1</v>
      </c>
      <c r="F8" s="10">
        <f t="shared" si="3"/>
        <v>44884</v>
      </c>
      <c r="G8">
        <f t="shared" si="1"/>
        <v>0</v>
      </c>
      <c r="H8" s="11">
        <v>44941</v>
      </c>
      <c r="I8">
        <v>300</v>
      </c>
    </row>
    <row r="9" spans="1:9" x14ac:dyDescent="0.2">
      <c r="A9" s="7">
        <f t="shared" si="2"/>
        <v>44885</v>
      </c>
      <c r="B9">
        <f t="shared" si="0"/>
        <v>0</v>
      </c>
      <c r="C9" s="8">
        <v>44943</v>
      </c>
      <c r="D9">
        <v>1</v>
      </c>
      <c r="F9" s="10">
        <f t="shared" si="3"/>
        <v>44885</v>
      </c>
      <c r="G9">
        <f t="shared" si="1"/>
        <v>0</v>
      </c>
      <c r="H9" s="11">
        <v>44943</v>
      </c>
      <c r="I9">
        <v>450</v>
      </c>
    </row>
    <row r="10" spans="1:9" x14ac:dyDescent="0.2">
      <c r="A10" s="7">
        <f t="shared" si="2"/>
        <v>44886</v>
      </c>
      <c r="B10">
        <f t="shared" si="0"/>
        <v>0</v>
      </c>
      <c r="C10" s="8">
        <v>44962</v>
      </c>
      <c r="D10">
        <v>1</v>
      </c>
      <c r="F10" s="10">
        <f t="shared" si="3"/>
        <v>44886</v>
      </c>
      <c r="G10">
        <f t="shared" si="1"/>
        <v>0</v>
      </c>
      <c r="H10" s="11">
        <v>44962</v>
      </c>
      <c r="I10">
        <v>700</v>
      </c>
    </row>
    <row r="11" spans="1:9" x14ac:dyDescent="0.2">
      <c r="A11" s="7">
        <f t="shared" si="2"/>
        <v>44887</v>
      </c>
      <c r="B11">
        <f t="shared" si="0"/>
        <v>0</v>
      </c>
      <c r="C11" s="8">
        <v>44966</v>
      </c>
      <c r="D11">
        <v>1</v>
      </c>
      <c r="F11" s="10">
        <f t="shared" si="3"/>
        <v>44887</v>
      </c>
      <c r="G11">
        <f t="shared" si="1"/>
        <v>0</v>
      </c>
      <c r="H11" s="11">
        <v>44966</v>
      </c>
      <c r="I11">
        <v>300</v>
      </c>
    </row>
    <row r="12" spans="1:9" x14ac:dyDescent="0.2">
      <c r="A12" s="7">
        <f t="shared" si="2"/>
        <v>44888</v>
      </c>
      <c r="B12">
        <f t="shared" si="0"/>
        <v>0</v>
      </c>
      <c r="C12" s="8">
        <v>44971</v>
      </c>
      <c r="D12">
        <v>1</v>
      </c>
      <c r="F12" s="10">
        <f t="shared" si="3"/>
        <v>44888</v>
      </c>
      <c r="G12">
        <f t="shared" si="1"/>
        <v>0</v>
      </c>
      <c r="H12" s="11">
        <v>44971</v>
      </c>
      <c r="I12">
        <v>450</v>
      </c>
    </row>
    <row r="13" spans="1:9" x14ac:dyDescent="0.2">
      <c r="A13" s="7">
        <f t="shared" si="2"/>
        <v>44889</v>
      </c>
      <c r="B13">
        <f t="shared" si="0"/>
        <v>0</v>
      </c>
      <c r="C13" s="8">
        <v>44975</v>
      </c>
      <c r="D13">
        <v>1</v>
      </c>
      <c r="F13" s="10">
        <f t="shared" si="3"/>
        <v>44889</v>
      </c>
      <c r="G13">
        <f t="shared" si="1"/>
        <v>0</v>
      </c>
      <c r="H13" s="11">
        <v>44975</v>
      </c>
      <c r="I13">
        <v>700</v>
      </c>
    </row>
    <row r="14" spans="1:9" x14ac:dyDescent="0.2">
      <c r="A14" s="7">
        <f t="shared" si="2"/>
        <v>44890</v>
      </c>
      <c r="B14">
        <f t="shared" si="0"/>
        <v>0</v>
      </c>
      <c r="C14" s="8">
        <v>44976</v>
      </c>
      <c r="D14">
        <v>1</v>
      </c>
      <c r="F14" s="10">
        <f t="shared" si="3"/>
        <v>44890</v>
      </c>
      <c r="G14">
        <f t="shared" si="1"/>
        <v>0</v>
      </c>
      <c r="H14" s="11">
        <v>44976</v>
      </c>
      <c r="I14">
        <v>300</v>
      </c>
    </row>
    <row r="15" spans="1:9" x14ac:dyDescent="0.2">
      <c r="A15" s="7">
        <f t="shared" si="2"/>
        <v>44891</v>
      </c>
      <c r="B15">
        <f t="shared" si="0"/>
        <v>0</v>
      </c>
      <c r="C15" s="8">
        <v>44978</v>
      </c>
      <c r="D15">
        <v>1</v>
      </c>
      <c r="F15" s="10">
        <f t="shared" si="3"/>
        <v>44891</v>
      </c>
      <c r="G15">
        <f t="shared" si="1"/>
        <v>0</v>
      </c>
      <c r="H15" s="11">
        <v>44978</v>
      </c>
      <c r="I15">
        <v>450</v>
      </c>
    </row>
    <row r="16" spans="1:9" x14ac:dyDescent="0.2">
      <c r="A16" s="7">
        <f t="shared" si="2"/>
        <v>44892</v>
      </c>
      <c r="B16">
        <f t="shared" si="0"/>
        <v>0</v>
      </c>
      <c r="C16" s="8">
        <v>44979</v>
      </c>
      <c r="D16">
        <v>1</v>
      </c>
      <c r="F16" s="10">
        <f t="shared" si="3"/>
        <v>44892</v>
      </c>
      <c r="G16">
        <f t="shared" si="1"/>
        <v>0</v>
      </c>
      <c r="H16" s="11">
        <v>44979</v>
      </c>
      <c r="I16">
        <v>700</v>
      </c>
    </row>
    <row r="17" spans="1:9" x14ac:dyDescent="0.2">
      <c r="A17" s="7">
        <f t="shared" si="2"/>
        <v>44893</v>
      </c>
      <c r="B17">
        <f t="shared" si="0"/>
        <v>0</v>
      </c>
      <c r="C17" s="8">
        <v>44982</v>
      </c>
      <c r="D17">
        <v>1</v>
      </c>
      <c r="F17" s="10">
        <f t="shared" si="3"/>
        <v>44893</v>
      </c>
      <c r="G17">
        <f t="shared" si="1"/>
        <v>0</v>
      </c>
      <c r="H17" s="11">
        <v>44982</v>
      </c>
      <c r="I17">
        <v>300</v>
      </c>
    </row>
    <row r="18" spans="1:9" x14ac:dyDescent="0.2">
      <c r="A18" s="7">
        <f t="shared" si="2"/>
        <v>44894</v>
      </c>
      <c r="B18">
        <f t="shared" si="0"/>
        <v>0</v>
      </c>
      <c r="C18" s="8">
        <v>44999</v>
      </c>
      <c r="D18">
        <v>1</v>
      </c>
      <c r="F18" s="10">
        <f t="shared" si="3"/>
        <v>44894</v>
      </c>
      <c r="G18">
        <f t="shared" si="1"/>
        <v>0</v>
      </c>
      <c r="H18" s="11">
        <v>44999</v>
      </c>
      <c r="I18">
        <v>450</v>
      </c>
    </row>
    <row r="19" spans="1:9" x14ac:dyDescent="0.2">
      <c r="A19" s="7">
        <f t="shared" si="2"/>
        <v>44895</v>
      </c>
      <c r="B19">
        <f t="shared" si="0"/>
        <v>0</v>
      </c>
      <c r="C19" s="8">
        <v>45019</v>
      </c>
      <c r="D19">
        <v>1</v>
      </c>
      <c r="F19" s="10">
        <f t="shared" si="3"/>
        <v>44895</v>
      </c>
      <c r="G19">
        <f t="shared" si="1"/>
        <v>0</v>
      </c>
      <c r="H19" s="11">
        <v>45019</v>
      </c>
      <c r="I19">
        <v>700</v>
      </c>
    </row>
    <row r="20" spans="1:9" x14ac:dyDescent="0.2">
      <c r="A20" s="7">
        <f t="shared" si="2"/>
        <v>44896</v>
      </c>
      <c r="B20">
        <f t="shared" si="0"/>
        <v>0</v>
      </c>
      <c r="C20" s="8">
        <v>45026</v>
      </c>
      <c r="D20">
        <v>1</v>
      </c>
      <c r="F20" s="10">
        <f t="shared" si="3"/>
        <v>44896</v>
      </c>
      <c r="G20">
        <f t="shared" si="1"/>
        <v>0</v>
      </c>
      <c r="H20" s="11">
        <v>45026</v>
      </c>
      <c r="I20">
        <v>300</v>
      </c>
    </row>
    <row r="21" spans="1:9" x14ac:dyDescent="0.2">
      <c r="A21" s="7">
        <f t="shared" si="2"/>
        <v>44897</v>
      </c>
      <c r="B21">
        <f t="shared" si="0"/>
        <v>0</v>
      </c>
      <c r="C21" s="8">
        <v>45028</v>
      </c>
      <c r="D21">
        <v>1</v>
      </c>
      <c r="F21" s="10">
        <f t="shared" si="3"/>
        <v>44897</v>
      </c>
      <c r="G21">
        <f t="shared" si="1"/>
        <v>0</v>
      </c>
      <c r="H21" s="11">
        <v>45028</v>
      </c>
      <c r="I21">
        <v>450</v>
      </c>
    </row>
    <row r="22" spans="1:9" x14ac:dyDescent="0.2">
      <c r="A22" s="7">
        <f t="shared" si="2"/>
        <v>44898</v>
      </c>
      <c r="B22">
        <f t="shared" si="0"/>
        <v>0</v>
      </c>
      <c r="C22" s="8">
        <v>45036</v>
      </c>
      <c r="D22">
        <v>1</v>
      </c>
      <c r="F22" s="10">
        <f t="shared" si="3"/>
        <v>44898</v>
      </c>
      <c r="G22">
        <f t="shared" si="1"/>
        <v>0</v>
      </c>
      <c r="H22" s="11">
        <v>45036</v>
      </c>
      <c r="I22">
        <v>700</v>
      </c>
    </row>
    <row r="23" spans="1:9" x14ac:dyDescent="0.2">
      <c r="A23" s="7">
        <f t="shared" si="2"/>
        <v>44899</v>
      </c>
      <c r="B23">
        <f t="shared" si="0"/>
        <v>0</v>
      </c>
      <c r="C23" s="8">
        <v>45040</v>
      </c>
      <c r="D23">
        <v>1</v>
      </c>
      <c r="F23" s="10">
        <f t="shared" si="3"/>
        <v>44899</v>
      </c>
      <c r="G23">
        <f t="shared" si="1"/>
        <v>0</v>
      </c>
      <c r="H23" s="11">
        <v>45040</v>
      </c>
      <c r="I23">
        <v>300</v>
      </c>
    </row>
    <row r="24" spans="1:9" x14ac:dyDescent="0.2">
      <c r="A24" s="7">
        <f t="shared" si="2"/>
        <v>44900</v>
      </c>
      <c r="B24">
        <f t="shared" si="0"/>
        <v>0</v>
      </c>
      <c r="C24" s="8">
        <v>45041</v>
      </c>
      <c r="D24">
        <v>1</v>
      </c>
      <c r="F24" s="10">
        <f t="shared" si="3"/>
        <v>44900</v>
      </c>
      <c r="G24">
        <f t="shared" si="1"/>
        <v>0</v>
      </c>
      <c r="H24" s="11">
        <v>45041</v>
      </c>
      <c r="I24">
        <v>450</v>
      </c>
    </row>
    <row r="25" spans="1:9" x14ac:dyDescent="0.2">
      <c r="A25" s="7">
        <f t="shared" si="2"/>
        <v>44901</v>
      </c>
      <c r="B25">
        <f t="shared" si="0"/>
        <v>0</v>
      </c>
      <c r="C25" s="8">
        <v>45048</v>
      </c>
      <c r="D25">
        <v>1</v>
      </c>
      <c r="F25" s="10">
        <f t="shared" si="3"/>
        <v>44901</v>
      </c>
      <c r="G25">
        <f t="shared" si="1"/>
        <v>0</v>
      </c>
      <c r="H25" s="11">
        <v>45048</v>
      </c>
      <c r="I25">
        <v>700</v>
      </c>
    </row>
    <row r="26" spans="1:9" x14ac:dyDescent="0.2">
      <c r="A26" s="7">
        <f t="shared" si="2"/>
        <v>44902</v>
      </c>
      <c r="B26">
        <f t="shared" si="0"/>
        <v>0</v>
      </c>
      <c r="C26" s="8">
        <v>45071</v>
      </c>
      <c r="D26">
        <v>1</v>
      </c>
      <c r="F26" s="10">
        <f t="shared" si="3"/>
        <v>44902</v>
      </c>
      <c r="G26">
        <f t="shared" si="1"/>
        <v>0</v>
      </c>
      <c r="H26" s="11">
        <v>45071</v>
      </c>
      <c r="I26">
        <v>300</v>
      </c>
    </row>
    <row r="27" spans="1:9" x14ac:dyDescent="0.2">
      <c r="A27" s="7">
        <f t="shared" si="2"/>
        <v>44903</v>
      </c>
      <c r="B27">
        <f t="shared" si="0"/>
        <v>0</v>
      </c>
      <c r="C27" s="8">
        <v>45072</v>
      </c>
      <c r="D27">
        <v>1</v>
      </c>
      <c r="F27" s="10">
        <f t="shared" si="3"/>
        <v>44903</v>
      </c>
      <c r="G27">
        <f t="shared" si="1"/>
        <v>0</v>
      </c>
      <c r="H27" s="11">
        <v>45072</v>
      </c>
      <c r="I27">
        <v>450</v>
      </c>
    </row>
    <row r="28" spans="1:9" x14ac:dyDescent="0.2">
      <c r="A28" s="7">
        <f t="shared" si="2"/>
        <v>44904</v>
      </c>
      <c r="B28">
        <f t="shared" si="0"/>
        <v>0</v>
      </c>
      <c r="C28" s="8">
        <v>45094</v>
      </c>
      <c r="D28">
        <v>1</v>
      </c>
      <c r="F28" s="10">
        <f t="shared" si="3"/>
        <v>44904</v>
      </c>
      <c r="G28">
        <f t="shared" si="1"/>
        <v>0</v>
      </c>
      <c r="H28" s="11">
        <v>45094</v>
      </c>
      <c r="I28">
        <v>700</v>
      </c>
    </row>
    <row r="29" spans="1:9" x14ac:dyDescent="0.2">
      <c r="A29" s="7">
        <f t="shared" si="2"/>
        <v>44905</v>
      </c>
      <c r="B29">
        <f t="shared" si="0"/>
        <v>0</v>
      </c>
      <c r="C29" s="8">
        <v>45101</v>
      </c>
      <c r="D29">
        <v>1</v>
      </c>
      <c r="F29" s="10">
        <f t="shared" si="3"/>
        <v>44905</v>
      </c>
      <c r="G29">
        <f t="shared" si="1"/>
        <v>0</v>
      </c>
      <c r="H29" s="11">
        <v>45101</v>
      </c>
      <c r="I29">
        <v>300</v>
      </c>
    </row>
    <row r="30" spans="1:9" x14ac:dyDescent="0.2">
      <c r="A30" s="7">
        <f t="shared" si="2"/>
        <v>44906</v>
      </c>
      <c r="B30">
        <f t="shared" si="0"/>
        <v>0</v>
      </c>
      <c r="C30" s="8">
        <v>45113</v>
      </c>
      <c r="D30">
        <v>1</v>
      </c>
      <c r="F30" s="10">
        <f t="shared" si="3"/>
        <v>44906</v>
      </c>
      <c r="G30">
        <f t="shared" si="1"/>
        <v>0</v>
      </c>
      <c r="H30" s="11">
        <v>45113</v>
      </c>
      <c r="I30">
        <v>450</v>
      </c>
    </row>
    <row r="31" spans="1:9" x14ac:dyDescent="0.2">
      <c r="A31" s="7">
        <f t="shared" si="2"/>
        <v>44907</v>
      </c>
      <c r="B31">
        <f t="shared" si="0"/>
        <v>0</v>
      </c>
      <c r="C31" s="8">
        <v>45114</v>
      </c>
      <c r="D31">
        <v>1</v>
      </c>
      <c r="F31" s="10">
        <f t="shared" si="3"/>
        <v>44907</v>
      </c>
      <c r="G31">
        <f t="shared" si="1"/>
        <v>0</v>
      </c>
      <c r="H31" s="11">
        <v>45114</v>
      </c>
      <c r="I31">
        <v>700</v>
      </c>
    </row>
    <row r="32" spans="1:9" x14ac:dyDescent="0.2">
      <c r="A32" s="7">
        <f t="shared" si="2"/>
        <v>44908</v>
      </c>
      <c r="B32">
        <f t="shared" si="0"/>
        <v>0</v>
      </c>
      <c r="C32" s="8">
        <v>45131</v>
      </c>
      <c r="D32">
        <v>1</v>
      </c>
      <c r="F32" s="10">
        <f t="shared" si="3"/>
        <v>44908</v>
      </c>
      <c r="G32">
        <f t="shared" si="1"/>
        <v>0</v>
      </c>
      <c r="H32" s="11">
        <v>45131</v>
      </c>
      <c r="I32">
        <v>300</v>
      </c>
    </row>
    <row r="33" spans="1:9" x14ac:dyDescent="0.2">
      <c r="A33" s="7">
        <f t="shared" si="2"/>
        <v>44909</v>
      </c>
      <c r="B33">
        <f t="shared" si="0"/>
        <v>1</v>
      </c>
      <c r="C33" s="8">
        <v>45133</v>
      </c>
      <c r="D33">
        <v>1</v>
      </c>
      <c r="F33" s="10">
        <f t="shared" si="3"/>
        <v>44909</v>
      </c>
      <c r="G33">
        <f t="shared" si="1"/>
        <v>450</v>
      </c>
      <c r="H33" s="11">
        <v>45133</v>
      </c>
      <c r="I33">
        <v>450</v>
      </c>
    </row>
    <row r="34" spans="1:9" x14ac:dyDescent="0.2">
      <c r="A34" s="7">
        <f t="shared" si="2"/>
        <v>44910</v>
      </c>
      <c r="B34">
        <f t="shared" si="0"/>
        <v>0</v>
      </c>
      <c r="C34" s="8">
        <v>45138</v>
      </c>
      <c r="D34">
        <v>1</v>
      </c>
      <c r="F34" s="10">
        <f t="shared" si="3"/>
        <v>44910</v>
      </c>
      <c r="G34">
        <f t="shared" si="1"/>
        <v>0</v>
      </c>
      <c r="H34" s="11">
        <v>45138</v>
      </c>
      <c r="I34">
        <v>700</v>
      </c>
    </row>
    <row r="35" spans="1:9" x14ac:dyDescent="0.2">
      <c r="A35" s="7">
        <f t="shared" si="2"/>
        <v>44911</v>
      </c>
      <c r="B35">
        <f t="shared" si="0"/>
        <v>0</v>
      </c>
      <c r="C35" s="8">
        <v>45142</v>
      </c>
      <c r="D35">
        <v>1</v>
      </c>
      <c r="F35" s="10">
        <f t="shared" si="3"/>
        <v>44911</v>
      </c>
      <c r="G35">
        <f t="shared" si="1"/>
        <v>0</v>
      </c>
      <c r="H35" s="11">
        <v>45142</v>
      </c>
      <c r="I35">
        <v>300</v>
      </c>
    </row>
    <row r="36" spans="1:9" x14ac:dyDescent="0.2">
      <c r="A36" s="7">
        <f t="shared" si="2"/>
        <v>44912</v>
      </c>
      <c r="B36">
        <f t="shared" si="0"/>
        <v>0</v>
      </c>
      <c r="C36" s="8">
        <v>45155</v>
      </c>
      <c r="D36">
        <v>2</v>
      </c>
      <c r="F36" s="10">
        <f t="shared" si="3"/>
        <v>44912</v>
      </c>
      <c r="G36">
        <f t="shared" si="1"/>
        <v>0</v>
      </c>
      <c r="H36" s="11">
        <v>45155</v>
      </c>
      <c r="I36">
        <v>1150</v>
      </c>
    </row>
    <row r="37" spans="1:9" x14ac:dyDescent="0.2">
      <c r="A37" s="7">
        <f t="shared" si="2"/>
        <v>44913</v>
      </c>
      <c r="B37">
        <f t="shared" si="0"/>
        <v>0</v>
      </c>
      <c r="C37" s="8">
        <v>45178</v>
      </c>
      <c r="D37">
        <v>1</v>
      </c>
      <c r="F37" s="10">
        <f t="shared" si="3"/>
        <v>44913</v>
      </c>
      <c r="G37">
        <f t="shared" si="1"/>
        <v>0</v>
      </c>
      <c r="H37" s="11">
        <v>45178</v>
      </c>
      <c r="I37">
        <v>300</v>
      </c>
    </row>
    <row r="38" spans="1:9" x14ac:dyDescent="0.2">
      <c r="A38" s="7">
        <f t="shared" si="2"/>
        <v>44914</v>
      </c>
      <c r="B38">
        <f t="shared" si="0"/>
        <v>0</v>
      </c>
      <c r="C38" s="8">
        <v>45180</v>
      </c>
      <c r="D38">
        <v>1</v>
      </c>
      <c r="F38" s="10">
        <f t="shared" si="3"/>
        <v>44914</v>
      </c>
      <c r="G38">
        <f t="shared" si="1"/>
        <v>0</v>
      </c>
      <c r="H38" s="11">
        <v>45180</v>
      </c>
      <c r="I38">
        <v>450</v>
      </c>
    </row>
    <row r="39" spans="1:9" x14ac:dyDescent="0.2">
      <c r="A39" s="7">
        <f t="shared" si="2"/>
        <v>44915</v>
      </c>
      <c r="B39">
        <f t="shared" si="0"/>
        <v>1</v>
      </c>
      <c r="C39" s="8">
        <v>45199</v>
      </c>
      <c r="D39">
        <v>1</v>
      </c>
      <c r="F39" s="10">
        <f t="shared" si="3"/>
        <v>44915</v>
      </c>
      <c r="G39">
        <f t="shared" si="1"/>
        <v>700</v>
      </c>
      <c r="H39" s="11">
        <v>45199</v>
      </c>
      <c r="I39">
        <v>700</v>
      </c>
    </row>
    <row r="40" spans="1:9" x14ac:dyDescent="0.2">
      <c r="A40" s="7">
        <f t="shared" si="2"/>
        <v>44916</v>
      </c>
      <c r="B40">
        <f t="shared" si="0"/>
        <v>0</v>
      </c>
      <c r="C40" s="8">
        <v>45213</v>
      </c>
      <c r="D40">
        <v>1</v>
      </c>
      <c r="F40" s="10">
        <f t="shared" si="3"/>
        <v>44916</v>
      </c>
      <c r="G40">
        <f t="shared" si="1"/>
        <v>0</v>
      </c>
      <c r="H40" s="11">
        <v>45213</v>
      </c>
      <c r="I40">
        <v>300</v>
      </c>
    </row>
    <row r="41" spans="1:9" x14ac:dyDescent="0.2">
      <c r="A41" s="7">
        <f t="shared" si="2"/>
        <v>44917</v>
      </c>
      <c r="B41">
        <f t="shared" si="0"/>
        <v>0</v>
      </c>
      <c r="C41" s="8">
        <v>45215</v>
      </c>
      <c r="D41">
        <v>1</v>
      </c>
      <c r="F41" s="10">
        <f t="shared" si="3"/>
        <v>44917</v>
      </c>
      <c r="G41">
        <f t="shared" si="1"/>
        <v>0</v>
      </c>
      <c r="H41" s="11">
        <v>45215</v>
      </c>
      <c r="I41">
        <v>450</v>
      </c>
    </row>
    <row r="42" spans="1:9" x14ac:dyDescent="0.2">
      <c r="A42" s="7">
        <f t="shared" si="2"/>
        <v>44918</v>
      </c>
      <c r="B42">
        <f t="shared" si="0"/>
        <v>0</v>
      </c>
      <c r="C42" s="8">
        <v>45224</v>
      </c>
      <c r="D42">
        <v>1</v>
      </c>
      <c r="F42" s="10">
        <f t="shared" si="3"/>
        <v>44918</v>
      </c>
      <c r="G42">
        <f t="shared" si="1"/>
        <v>0</v>
      </c>
      <c r="H42" s="11">
        <v>45224</v>
      </c>
      <c r="I42">
        <v>700</v>
      </c>
    </row>
    <row r="43" spans="1:9" x14ac:dyDescent="0.2">
      <c r="A43" s="7">
        <f t="shared" si="2"/>
        <v>44919</v>
      </c>
      <c r="B43">
        <f t="shared" si="0"/>
        <v>0</v>
      </c>
      <c r="C43" s="8">
        <v>45230</v>
      </c>
      <c r="D43">
        <v>1</v>
      </c>
      <c r="F43" s="10">
        <f t="shared" si="3"/>
        <v>44919</v>
      </c>
      <c r="G43">
        <f t="shared" si="1"/>
        <v>0</v>
      </c>
      <c r="H43" s="11">
        <v>45230</v>
      </c>
      <c r="I43">
        <v>300</v>
      </c>
    </row>
    <row r="44" spans="1:9" x14ac:dyDescent="0.2">
      <c r="A44" s="7">
        <f t="shared" si="2"/>
        <v>44920</v>
      </c>
      <c r="B44">
        <f t="shared" si="0"/>
        <v>0</v>
      </c>
      <c r="C44" s="8">
        <v>45233</v>
      </c>
      <c r="D44">
        <v>1</v>
      </c>
      <c r="F44" s="10">
        <f t="shared" si="3"/>
        <v>44920</v>
      </c>
      <c r="G44">
        <f t="shared" si="1"/>
        <v>0</v>
      </c>
      <c r="H44" s="11">
        <v>45233</v>
      </c>
      <c r="I44">
        <v>450</v>
      </c>
    </row>
    <row r="45" spans="1:9" x14ac:dyDescent="0.2">
      <c r="A45" s="7">
        <f t="shared" si="2"/>
        <v>44921</v>
      </c>
      <c r="B45">
        <f t="shared" si="0"/>
        <v>1</v>
      </c>
      <c r="C45" s="8">
        <v>45260</v>
      </c>
      <c r="D45">
        <v>1</v>
      </c>
      <c r="F45" s="10">
        <f t="shared" si="3"/>
        <v>44921</v>
      </c>
      <c r="G45">
        <f t="shared" si="1"/>
        <v>300</v>
      </c>
      <c r="H45" s="11">
        <v>45260</v>
      </c>
      <c r="I45">
        <v>700</v>
      </c>
    </row>
    <row r="46" spans="1:9" x14ac:dyDescent="0.2">
      <c r="A46" s="7">
        <f t="shared" si="2"/>
        <v>44922</v>
      </c>
      <c r="B46">
        <f t="shared" si="0"/>
        <v>0</v>
      </c>
      <c r="C46" s="8">
        <v>45263</v>
      </c>
      <c r="D46">
        <v>1</v>
      </c>
      <c r="F46" s="10">
        <f t="shared" si="3"/>
        <v>44922</v>
      </c>
      <c r="G46">
        <f t="shared" si="1"/>
        <v>0</v>
      </c>
      <c r="H46" s="11">
        <v>45263</v>
      </c>
      <c r="I46">
        <v>300</v>
      </c>
    </row>
    <row r="47" spans="1:9" x14ac:dyDescent="0.2">
      <c r="A47" s="7">
        <f t="shared" si="2"/>
        <v>44923</v>
      </c>
      <c r="B47">
        <f t="shared" si="0"/>
        <v>0</v>
      </c>
      <c r="C47" s="8">
        <v>45269</v>
      </c>
      <c r="D47">
        <v>1</v>
      </c>
      <c r="F47" s="10">
        <f t="shared" si="3"/>
        <v>44923</v>
      </c>
      <c r="G47">
        <f t="shared" si="1"/>
        <v>0</v>
      </c>
      <c r="H47" s="11">
        <v>45269</v>
      </c>
      <c r="I47">
        <v>450</v>
      </c>
    </row>
    <row r="48" spans="1:9" x14ac:dyDescent="0.2">
      <c r="A48" s="7">
        <f t="shared" si="2"/>
        <v>44924</v>
      </c>
      <c r="B48">
        <f t="shared" si="0"/>
        <v>0</v>
      </c>
      <c r="C48" s="8">
        <v>45299</v>
      </c>
      <c r="D48">
        <v>1</v>
      </c>
      <c r="F48" s="10">
        <f t="shared" si="3"/>
        <v>44924</v>
      </c>
      <c r="G48">
        <f t="shared" si="1"/>
        <v>0</v>
      </c>
      <c r="H48" s="11">
        <v>45299</v>
      </c>
      <c r="I48">
        <v>700</v>
      </c>
    </row>
    <row r="49" spans="1:9" x14ac:dyDescent="0.2">
      <c r="A49" s="7">
        <f t="shared" si="2"/>
        <v>44925</v>
      </c>
      <c r="B49">
        <f t="shared" si="0"/>
        <v>0</v>
      </c>
      <c r="C49" s="8">
        <v>45307</v>
      </c>
      <c r="D49">
        <v>1</v>
      </c>
      <c r="F49" s="10">
        <f t="shared" si="3"/>
        <v>44925</v>
      </c>
      <c r="G49">
        <f t="shared" si="1"/>
        <v>0</v>
      </c>
      <c r="H49" s="11">
        <v>45307</v>
      </c>
      <c r="I49">
        <v>300</v>
      </c>
    </row>
    <row r="50" spans="1:9" x14ac:dyDescent="0.2">
      <c r="A50" s="7">
        <f t="shared" si="2"/>
        <v>44926</v>
      </c>
      <c r="B50">
        <f t="shared" si="0"/>
        <v>1</v>
      </c>
      <c r="C50" s="8">
        <v>45313</v>
      </c>
      <c r="D50">
        <v>2</v>
      </c>
      <c r="F50" s="10">
        <f t="shared" si="3"/>
        <v>44926</v>
      </c>
      <c r="G50">
        <f t="shared" si="1"/>
        <v>450</v>
      </c>
      <c r="H50" s="11">
        <v>45313</v>
      </c>
      <c r="I50">
        <v>1150</v>
      </c>
    </row>
    <row r="51" spans="1:9" x14ac:dyDescent="0.2">
      <c r="A51" s="7">
        <f t="shared" si="2"/>
        <v>44927</v>
      </c>
      <c r="B51">
        <f t="shared" si="0"/>
        <v>0</v>
      </c>
      <c r="C51" s="8">
        <v>45315</v>
      </c>
      <c r="D51">
        <v>1</v>
      </c>
      <c r="F51" s="10">
        <f t="shared" si="3"/>
        <v>44927</v>
      </c>
      <c r="G51">
        <f t="shared" si="1"/>
        <v>0</v>
      </c>
      <c r="H51" s="11">
        <v>45315</v>
      </c>
      <c r="I51">
        <v>300</v>
      </c>
    </row>
    <row r="52" spans="1:9" x14ac:dyDescent="0.2">
      <c r="A52" s="7">
        <f t="shared" si="2"/>
        <v>44928</v>
      </c>
      <c r="B52">
        <f t="shared" si="0"/>
        <v>0</v>
      </c>
      <c r="C52" s="8">
        <v>45322</v>
      </c>
      <c r="D52">
        <v>2</v>
      </c>
      <c r="F52" s="10">
        <f t="shared" si="3"/>
        <v>44928</v>
      </c>
      <c r="G52">
        <f t="shared" si="1"/>
        <v>0</v>
      </c>
      <c r="H52" s="11">
        <v>45322</v>
      </c>
      <c r="I52">
        <v>1150</v>
      </c>
    </row>
    <row r="53" spans="1:9" x14ac:dyDescent="0.2">
      <c r="A53" s="7">
        <f t="shared" si="2"/>
        <v>44929</v>
      </c>
      <c r="B53">
        <f t="shared" si="0"/>
        <v>0</v>
      </c>
      <c r="C53" s="8">
        <v>45330</v>
      </c>
      <c r="D53">
        <v>1</v>
      </c>
      <c r="F53" s="10">
        <f t="shared" si="3"/>
        <v>44929</v>
      </c>
      <c r="G53">
        <f t="shared" si="1"/>
        <v>0</v>
      </c>
      <c r="H53" s="11">
        <v>45330</v>
      </c>
      <c r="I53">
        <v>300</v>
      </c>
    </row>
    <row r="54" spans="1:9" x14ac:dyDescent="0.2">
      <c r="A54" s="7">
        <f t="shared" si="2"/>
        <v>44930</v>
      </c>
      <c r="B54">
        <f t="shared" si="0"/>
        <v>0</v>
      </c>
      <c r="C54" s="8">
        <v>45331</v>
      </c>
      <c r="D54">
        <v>1</v>
      </c>
      <c r="F54" s="10">
        <f t="shared" si="3"/>
        <v>44930</v>
      </c>
      <c r="G54">
        <f t="shared" si="1"/>
        <v>0</v>
      </c>
      <c r="H54" s="11">
        <v>45331</v>
      </c>
      <c r="I54">
        <v>450</v>
      </c>
    </row>
    <row r="55" spans="1:9" x14ac:dyDescent="0.2">
      <c r="A55" s="7">
        <f t="shared" si="2"/>
        <v>44931</v>
      </c>
      <c r="B55">
        <f t="shared" si="0"/>
        <v>0</v>
      </c>
      <c r="C55" s="8">
        <v>45333</v>
      </c>
      <c r="D55">
        <v>1</v>
      </c>
      <c r="F55" s="10">
        <f t="shared" si="3"/>
        <v>44931</v>
      </c>
      <c r="G55">
        <f t="shared" si="1"/>
        <v>0</v>
      </c>
      <c r="H55" s="11">
        <v>45333</v>
      </c>
      <c r="I55">
        <v>700</v>
      </c>
    </row>
    <row r="56" spans="1:9" x14ac:dyDescent="0.2">
      <c r="A56" s="7">
        <f t="shared" si="2"/>
        <v>44932</v>
      </c>
      <c r="B56">
        <f t="shared" si="0"/>
        <v>0</v>
      </c>
      <c r="C56" s="8">
        <v>45338</v>
      </c>
      <c r="D56">
        <v>1</v>
      </c>
      <c r="F56" s="10">
        <f t="shared" si="3"/>
        <v>44932</v>
      </c>
      <c r="G56">
        <f t="shared" si="1"/>
        <v>0</v>
      </c>
      <c r="H56" s="11">
        <v>45338</v>
      </c>
      <c r="I56">
        <v>300</v>
      </c>
    </row>
    <row r="57" spans="1:9" x14ac:dyDescent="0.2">
      <c r="A57" s="7">
        <f t="shared" si="2"/>
        <v>44933</v>
      </c>
      <c r="B57">
        <f t="shared" si="0"/>
        <v>0</v>
      </c>
      <c r="C57" s="8">
        <v>45343</v>
      </c>
      <c r="D57">
        <v>1</v>
      </c>
      <c r="F57" s="10">
        <f t="shared" si="3"/>
        <v>44933</v>
      </c>
      <c r="G57">
        <f t="shared" si="1"/>
        <v>0</v>
      </c>
      <c r="H57" s="11">
        <v>45343</v>
      </c>
      <c r="I57">
        <v>450</v>
      </c>
    </row>
    <row r="58" spans="1:9" x14ac:dyDescent="0.2">
      <c r="A58" s="7">
        <f t="shared" si="2"/>
        <v>44934</v>
      </c>
      <c r="B58">
        <f t="shared" si="0"/>
        <v>0</v>
      </c>
      <c r="C58" s="8">
        <v>45345</v>
      </c>
      <c r="D58">
        <v>1</v>
      </c>
      <c r="F58" s="10">
        <f t="shared" si="3"/>
        <v>44934</v>
      </c>
      <c r="G58">
        <f t="shared" si="1"/>
        <v>0</v>
      </c>
      <c r="H58" s="11">
        <v>45345</v>
      </c>
      <c r="I58">
        <v>700</v>
      </c>
    </row>
    <row r="59" spans="1:9" x14ac:dyDescent="0.2">
      <c r="A59" s="7">
        <f t="shared" si="2"/>
        <v>44935</v>
      </c>
      <c r="B59">
        <f t="shared" si="0"/>
        <v>0</v>
      </c>
      <c r="C59" s="8">
        <v>45349</v>
      </c>
      <c r="D59">
        <v>1</v>
      </c>
      <c r="F59" s="10">
        <f t="shared" si="3"/>
        <v>44935</v>
      </c>
      <c r="G59">
        <f t="shared" si="1"/>
        <v>0</v>
      </c>
      <c r="H59" s="11">
        <v>45349</v>
      </c>
      <c r="I59">
        <v>300</v>
      </c>
    </row>
    <row r="60" spans="1:9" x14ac:dyDescent="0.2">
      <c r="A60" s="7">
        <f t="shared" si="2"/>
        <v>44936</v>
      </c>
      <c r="B60">
        <f t="shared" si="0"/>
        <v>0</v>
      </c>
      <c r="C60" s="8">
        <v>45350</v>
      </c>
      <c r="D60">
        <v>2</v>
      </c>
      <c r="F60" s="10">
        <f t="shared" si="3"/>
        <v>44936</v>
      </c>
      <c r="G60">
        <f t="shared" si="1"/>
        <v>0</v>
      </c>
      <c r="H60" s="11">
        <v>45350</v>
      </c>
      <c r="I60">
        <v>1150</v>
      </c>
    </row>
    <row r="61" spans="1:9" x14ac:dyDescent="0.2">
      <c r="A61" s="7">
        <f t="shared" si="2"/>
        <v>44937</v>
      </c>
      <c r="B61">
        <f t="shared" si="0"/>
        <v>1</v>
      </c>
      <c r="C61" s="8">
        <v>45353</v>
      </c>
      <c r="D61">
        <v>2</v>
      </c>
      <c r="F61" s="10">
        <f t="shared" si="3"/>
        <v>44937</v>
      </c>
      <c r="G61">
        <f t="shared" si="1"/>
        <v>700</v>
      </c>
      <c r="H61" s="11">
        <v>45353</v>
      </c>
      <c r="I61">
        <v>750</v>
      </c>
    </row>
    <row r="62" spans="1:9" x14ac:dyDescent="0.2">
      <c r="A62" s="7">
        <f t="shared" si="2"/>
        <v>44938</v>
      </c>
      <c r="B62">
        <f t="shared" si="0"/>
        <v>0</v>
      </c>
      <c r="C62" s="8">
        <v>45368</v>
      </c>
      <c r="D62">
        <v>1</v>
      </c>
      <c r="F62" s="10">
        <f t="shared" si="3"/>
        <v>44938</v>
      </c>
      <c r="G62">
        <f t="shared" si="1"/>
        <v>0</v>
      </c>
      <c r="H62" s="11">
        <v>45368</v>
      </c>
      <c r="I62">
        <v>700</v>
      </c>
    </row>
    <row r="63" spans="1:9" x14ac:dyDescent="0.2">
      <c r="A63" s="7">
        <f t="shared" si="2"/>
        <v>44939</v>
      </c>
      <c r="B63">
        <f t="shared" si="0"/>
        <v>0</v>
      </c>
      <c r="C63" s="8">
        <v>45373</v>
      </c>
      <c r="D63">
        <v>1</v>
      </c>
      <c r="F63" s="10">
        <f t="shared" si="3"/>
        <v>44939</v>
      </c>
      <c r="G63">
        <f t="shared" si="1"/>
        <v>0</v>
      </c>
      <c r="H63" s="11">
        <v>45373</v>
      </c>
      <c r="I63">
        <v>300</v>
      </c>
    </row>
    <row r="64" spans="1:9" x14ac:dyDescent="0.2">
      <c r="A64" s="7">
        <f t="shared" si="2"/>
        <v>44940</v>
      </c>
      <c r="B64">
        <f t="shared" si="0"/>
        <v>0</v>
      </c>
      <c r="C64" s="8">
        <v>45375</v>
      </c>
      <c r="D64">
        <v>1</v>
      </c>
      <c r="F64" s="10">
        <f t="shared" si="3"/>
        <v>44940</v>
      </c>
      <c r="G64">
        <f t="shared" si="1"/>
        <v>0</v>
      </c>
      <c r="H64" s="11">
        <v>45375</v>
      </c>
      <c r="I64">
        <v>450</v>
      </c>
    </row>
    <row r="65" spans="1:9" x14ac:dyDescent="0.2">
      <c r="A65" s="7">
        <f t="shared" si="2"/>
        <v>44941</v>
      </c>
      <c r="B65">
        <f t="shared" si="0"/>
        <v>1</v>
      </c>
      <c r="C65" s="8">
        <v>45391</v>
      </c>
      <c r="D65">
        <v>1</v>
      </c>
      <c r="F65" s="10">
        <f t="shared" si="3"/>
        <v>44941</v>
      </c>
      <c r="G65">
        <f t="shared" si="1"/>
        <v>300</v>
      </c>
      <c r="H65" s="11">
        <v>45391</v>
      </c>
      <c r="I65">
        <v>700</v>
      </c>
    </row>
    <row r="66" spans="1:9" x14ac:dyDescent="0.2">
      <c r="A66" s="7">
        <f t="shared" si="2"/>
        <v>44942</v>
      </c>
      <c r="B66">
        <f t="shared" ref="B66:B129" si="4">IFERROR(VLOOKUP(A66,$C$2:$D$1000,2,FALSE),0)</f>
        <v>0</v>
      </c>
      <c r="C66" s="8">
        <v>45399</v>
      </c>
      <c r="D66">
        <v>1</v>
      </c>
      <c r="F66" s="10">
        <f t="shared" si="3"/>
        <v>44942</v>
      </c>
      <c r="G66">
        <f t="shared" si="1"/>
        <v>0</v>
      </c>
      <c r="H66" s="11">
        <v>45399</v>
      </c>
      <c r="I66">
        <v>300</v>
      </c>
    </row>
    <row r="67" spans="1:9" x14ac:dyDescent="0.2">
      <c r="A67" s="7">
        <f t="shared" si="2"/>
        <v>44943</v>
      </c>
      <c r="B67">
        <f t="shared" si="4"/>
        <v>1</v>
      </c>
      <c r="C67" s="8">
        <v>45410</v>
      </c>
      <c r="D67">
        <v>1</v>
      </c>
      <c r="F67" s="10">
        <f t="shared" si="3"/>
        <v>44943</v>
      </c>
      <c r="G67">
        <f t="shared" ref="G67:G130" si="5">IFERROR(VLOOKUP(F67,$H$2:$I$1000,2,FALSE),0)</f>
        <v>450</v>
      </c>
      <c r="H67" s="11">
        <v>45410</v>
      </c>
      <c r="I67">
        <v>450</v>
      </c>
    </row>
    <row r="68" spans="1:9" x14ac:dyDescent="0.2">
      <c r="A68" s="7">
        <f t="shared" ref="A68:A131" si="6">A67+1</f>
        <v>44944</v>
      </c>
      <c r="B68">
        <f t="shared" si="4"/>
        <v>0</v>
      </c>
      <c r="C68" s="8">
        <v>45416</v>
      </c>
      <c r="D68">
        <v>1</v>
      </c>
      <c r="F68" s="10">
        <f t="shared" ref="F68:F131" si="7">F67+1</f>
        <v>44944</v>
      </c>
      <c r="G68">
        <f t="shared" si="5"/>
        <v>0</v>
      </c>
      <c r="H68" s="11">
        <v>45416</v>
      </c>
      <c r="I68">
        <v>700</v>
      </c>
    </row>
    <row r="69" spans="1:9" x14ac:dyDescent="0.2">
      <c r="A69" s="7">
        <f t="shared" si="6"/>
        <v>44945</v>
      </c>
      <c r="B69">
        <f t="shared" si="4"/>
        <v>0</v>
      </c>
      <c r="C69" s="8">
        <v>45425</v>
      </c>
      <c r="D69">
        <v>1</v>
      </c>
      <c r="F69" s="10">
        <f t="shared" si="7"/>
        <v>44945</v>
      </c>
      <c r="G69">
        <f t="shared" si="5"/>
        <v>0</v>
      </c>
      <c r="H69" s="11">
        <v>45425</v>
      </c>
      <c r="I69">
        <v>300</v>
      </c>
    </row>
    <row r="70" spans="1:9" x14ac:dyDescent="0.2">
      <c r="A70" s="7">
        <f t="shared" si="6"/>
        <v>44946</v>
      </c>
      <c r="B70">
        <f t="shared" si="4"/>
        <v>0</v>
      </c>
      <c r="C70" s="8">
        <v>45437</v>
      </c>
      <c r="D70">
        <v>1</v>
      </c>
      <c r="F70" s="10">
        <f t="shared" si="7"/>
        <v>44946</v>
      </c>
      <c r="G70">
        <f t="shared" si="5"/>
        <v>0</v>
      </c>
      <c r="H70" s="11">
        <v>45437</v>
      </c>
      <c r="I70">
        <v>450</v>
      </c>
    </row>
    <row r="71" spans="1:9" x14ac:dyDescent="0.2">
      <c r="A71" s="7">
        <f t="shared" si="6"/>
        <v>44947</v>
      </c>
      <c r="B71">
        <f t="shared" si="4"/>
        <v>0</v>
      </c>
      <c r="C71" s="8">
        <v>45456</v>
      </c>
      <c r="D71">
        <v>1</v>
      </c>
      <c r="F71" s="10">
        <f t="shared" si="7"/>
        <v>44947</v>
      </c>
      <c r="G71">
        <f t="shared" si="5"/>
        <v>0</v>
      </c>
      <c r="H71" s="11">
        <v>45456</v>
      </c>
      <c r="I71">
        <v>700</v>
      </c>
    </row>
    <row r="72" spans="1:9" x14ac:dyDescent="0.2">
      <c r="A72" s="7">
        <f t="shared" si="6"/>
        <v>44948</v>
      </c>
      <c r="B72">
        <f t="shared" si="4"/>
        <v>0</v>
      </c>
      <c r="C72" s="8">
        <v>45459</v>
      </c>
      <c r="D72">
        <v>1</v>
      </c>
      <c r="F72" s="10">
        <f t="shared" si="7"/>
        <v>44948</v>
      </c>
      <c r="G72">
        <f t="shared" si="5"/>
        <v>0</v>
      </c>
      <c r="H72" s="11">
        <v>45459</v>
      </c>
      <c r="I72">
        <v>300</v>
      </c>
    </row>
    <row r="73" spans="1:9" x14ac:dyDescent="0.2">
      <c r="A73" s="7">
        <f t="shared" si="6"/>
        <v>44949</v>
      </c>
      <c r="B73">
        <f t="shared" si="4"/>
        <v>0</v>
      </c>
      <c r="C73" s="8">
        <v>45461</v>
      </c>
      <c r="D73">
        <v>1</v>
      </c>
      <c r="F73" s="10">
        <f t="shared" si="7"/>
        <v>44949</v>
      </c>
      <c r="G73">
        <f t="shared" si="5"/>
        <v>0</v>
      </c>
      <c r="H73" s="11">
        <v>45461</v>
      </c>
      <c r="I73">
        <v>450</v>
      </c>
    </row>
    <row r="74" spans="1:9" x14ac:dyDescent="0.2">
      <c r="A74" s="7">
        <f t="shared" si="6"/>
        <v>44950</v>
      </c>
      <c r="B74">
        <f t="shared" si="4"/>
        <v>0</v>
      </c>
      <c r="C74" s="8">
        <v>45466</v>
      </c>
      <c r="D74">
        <v>1</v>
      </c>
      <c r="F74" s="10">
        <f t="shared" si="7"/>
        <v>44950</v>
      </c>
      <c r="G74">
        <f t="shared" si="5"/>
        <v>0</v>
      </c>
      <c r="H74" s="11">
        <v>45466</v>
      </c>
      <c r="I74">
        <v>700</v>
      </c>
    </row>
    <row r="75" spans="1:9" x14ac:dyDescent="0.2">
      <c r="A75" s="7">
        <f t="shared" si="6"/>
        <v>44951</v>
      </c>
      <c r="B75">
        <f t="shared" si="4"/>
        <v>0</v>
      </c>
      <c r="C75" s="8">
        <v>45470</v>
      </c>
      <c r="D75">
        <v>1</v>
      </c>
      <c r="F75" s="10">
        <f t="shared" si="7"/>
        <v>44951</v>
      </c>
      <c r="G75">
        <f t="shared" si="5"/>
        <v>0</v>
      </c>
      <c r="H75" s="11">
        <v>45470</v>
      </c>
      <c r="I75">
        <v>300</v>
      </c>
    </row>
    <row r="76" spans="1:9" x14ac:dyDescent="0.2">
      <c r="A76" s="7">
        <f t="shared" si="6"/>
        <v>44952</v>
      </c>
      <c r="B76">
        <f t="shared" si="4"/>
        <v>0</v>
      </c>
      <c r="C76" s="8">
        <v>45471</v>
      </c>
      <c r="D76">
        <v>1</v>
      </c>
      <c r="F76" s="10">
        <f t="shared" si="7"/>
        <v>44952</v>
      </c>
      <c r="G76">
        <f t="shared" si="5"/>
        <v>0</v>
      </c>
      <c r="H76" s="11">
        <v>45471</v>
      </c>
      <c r="I76">
        <v>450</v>
      </c>
    </row>
    <row r="77" spans="1:9" x14ac:dyDescent="0.2">
      <c r="A77" s="7">
        <f t="shared" si="6"/>
        <v>44953</v>
      </c>
      <c r="B77">
        <f t="shared" si="4"/>
        <v>0</v>
      </c>
      <c r="C77" s="8">
        <v>45474</v>
      </c>
      <c r="D77">
        <v>1</v>
      </c>
      <c r="F77" s="10">
        <f t="shared" si="7"/>
        <v>44953</v>
      </c>
      <c r="G77">
        <f t="shared" si="5"/>
        <v>0</v>
      </c>
      <c r="H77" s="11">
        <v>45474</v>
      </c>
      <c r="I77">
        <v>700</v>
      </c>
    </row>
    <row r="78" spans="1:9" x14ac:dyDescent="0.2">
      <c r="A78" s="7">
        <f t="shared" si="6"/>
        <v>44954</v>
      </c>
      <c r="B78">
        <f t="shared" si="4"/>
        <v>0</v>
      </c>
      <c r="C78" s="8">
        <v>45476</v>
      </c>
      <c r="D78">
        <v>1</v>
      </c>
      <c r="F78" s="10">
        <f t="shared" si="7"/>
        <v>44954</v>
      </c>
      <c r="G78">
        <f t="shared" si="5"/>
        <v>0</v>
      </c>
      <c r="H78" s="11">
        <v>45476</v>
      </c>
      <c r="I78">
        <v>300</v>
      </c>
    </row>
    <row r="79" spans="1:9" x14ac:dyDescent="0.2">
      <c r="A79" s="7">
        <f t="shared" si="6"/>
        <v>44955</v>
      </c>
      <c r="B79">
        <f t="shared" si="4"/>
        <v>0</v>
      </c>
      <c r="C79" s="8">
        <v>45484</v>
      </c>
      <c r="D79">
        <v>1</v>
      </c>
      <c r="F79" s="10">
        <f t="shared" si="7"/>
        <v>44955</v>
      </c>
      <c r="G79">
        <f t="shared" si="5"/>
        <v>0</v>
      </c>
      <c r="H79" s="11">
        <v>45484</v>
      </c>
      <c r="I79">
        <v>450</v>
      </c>
    </row>
    <row r="80" spans="1:9" x14ac:dyDescent="0.2">
      <c r="A80" s="7">
        <f t="shared" si="6"/>
        <v>44956</v>
      </c>
      <c r="B80">
        <f t="shared" si="4"/>
        <v>0</v>
      </c>
      <c r="C80" s="8">
        <v>45506</v>
      </c>
      <c r="D80">
        <v>1</v>
      </c>
      <c r="F80" s="10">
        <f t="shared" si="7"/>
        <v>44956</v>
      </c>
      <c r="G80">
        <f t="shared" si="5"/>
        <v>0</v>
      </c>
      <c r="H80" s="11">
        <v>45506</v>
      </c>
      <c r="I80">
        <v>700</v>
      </c>
    </row>
    <row r="81" spans="1:9" x14ac:dyDescent="0.2">
      <c r="A81" s="7">
        <f t="shared" si="6"/>
        <v>44957</v>
      </c>
      <c r="B81">
        <f t="shared" si="4"/>
        <v>0</v>
      </c>
      <c r="C81" s="8">
        <v>45513</v>
      </c>
      <c r="D81">
        <v>1</v>
      </c>
      <c r="F81" s="10">
        <f t="shared" si="7"/>
        <v>44957</v>
      </c>
      <c r="G81">
        <f t="shared" si="5"/>
        <v>0</v>
      </c>
      <c r="H81" s="11">
        <v>45513</v>
      </c>
      <c r="I81">
        <v>300</v>
      </c>
    </row>
    <row r="82" spans="1:9" x14ac:dyDescent="0.2">
      <c r="A82" s="7">
        <f t="shared" si="6"/>
        <v>44958</v>
      </c>
      <c r="B82">
        <f t="shared" si="4"/>
        <v>0</v>
      </c>
      <c r="C82" s="8">
        <v>45518</v>
      </c>
      <c r="D82">
        <v>1</v>
      </c>
      <c r="F82" s="10">
        <f t="shared" si="7"/>
        <v>44958</v>
      </c>
      <c r="G82">
        <f t="shared" si="5"/>
        <v>0</v>
      </c>
      <c r="H82" s="11">
        <v>45518</v>
      </c>
      <c r="I82">
        <v>450</v>
      </c>
    </row>
    <row r="83" spans="1:9" x14ac:dyDescent="0.2">
      <c r="A83" s="7">
        <f t="shared" si="6"/>
        <v>44959</v>
      </c>
      <c r="B83">
        <f t="shared" si="4"/>
        <v>0</v>
      </c>
      <c r="C83" s="8">
        <v>45526</v>
      </c>
      <c r="D83">
        <v>1</v>
      </c>
      <c r="F83" s="10">
        <f t="shared" si="7"/>
        <v>44959</v>
      </c>
      <c r="G83">
        <f t="shared" si="5"/>
        <v>0</v>
      </c>
      <c r="H83" s="11">
        <v>45526</v>
      </c>
      <c r="I83">
        <v>700</v>
      </c>
    </row>
    <row r="84" spans="1:9" x14ac:dyDescent="0.2">
      <c r="A84" s="7">
        <f t="shared" si="6"/>
        <v>44960</v>
      </c>
      <c r="B84">
        <f t="shared" si="4"/>
        <v>0</v>
      </c>
      <c r="C84" s="8">
        <v>45530</v>
      </c>
      <c r="D84">
        <v>1</v>
      </c>
      <c r="F84" s="10">
        <f t="shared" si="7"/>
        <v>44960</v>
      </c>
      <c r="G84">
        <f t="shared" si="5"/>
        <v>0</v>
      </c>
      <c r="H84" s="11">
        <v>45530</v>
      </c>
      <c r="I84">
        <v>300</v>
      </c>
    </row>
    <row r="85" spans="1:9" x14ac:dyDescent="0.2">
      <c r="A85" s="7">
        <f t="shared" si="6"/>
        <v>44961</v>
      </c>
      <c r="B85">
        <f t="shared" si="4"/>
        <v>0</v>
      </c>
      <c r="C85" s="8">
        <v>45533</v>
      </c>
      <c r="D85">
        <v>1</v>
      </c>
      <c r="F85" s="10">
        <f t="shared" si="7"/>
        <v>44961</v>
      </c>
      <c r="G85">
        <f t="shared" si="5"/>
        <v>0</v>
      </c>
      <c r="H85" s="11">
        <v>45533</v>
      </c>
      <c r="I85">
        <v>450</v>
      </c>
    </row>
    <row r="86" spans="1:9" x14ac:dyDescent="0.2">
      <c r="A86" s="7">
        <f t="shared" si="6"/>
        <v>44962</v>
      </c>
      <c r="B86">
        <f t="shared" si="4"/>
        <v>1</v>
      </c>
      <c r="C86" s="8">
        <v>45534</v>
      </c>
      <c r="D86">
        <v>1</v>
      </c>
      <c r="F86" s="10">
        <f t="shared" si="7"/>
        <v>44962</v>
      </c>
      <c r="G86">
        <f t="shared" si="5"/>
        <v>700</v>
      </c>
      <c r="H86" s="11">
        <v>45534</v>
      </c>
      <c r="I86">
        <v>700</v>
      </c>
    </row>
    <row r="87" spans="1:9" x14ac:dyDescent="0.2">
      <c r="A87" s="7">
        <f t="shared" si="6"/>
        <v>44963</v>
      </c>
      <c r="B87">
        <f t="shared" si="4"/>
        <v>0</v>
      </c>
      <c r="C87" s="8">
        <v>45560</v>
      </c>
      <c r="D87">
        <v>1</v>
      </c>
      <c r="F87" s="10">
        <f t="shared" si="7"/>
        <v>44963</v>
      </c>
      <c r="G87">
        <f t="shared" si="5"/>
        <v>0</v>
      </c>
      <c r="H87" s="11">
        <v>45560</v>
      </c>
      <c r="I87">
        <v>300</v>
      </c>
    </row>
    <row r="88" spans="1:9" x14ac:dyDescent="0.2">
      <c r="A88" s="7">
        <f t="shared" si="6"/>
        <v>44964</v>
      </c>
      <c r="B88">
        <f t="shared" si="4"/>
        <v>0</v>
      </c>
      <c r="C88" s="8">
        <v>45562</v>
      </c>
      <c r="D88">
        <v>1</v>
      </c>
      <c r="F88" s="10">
        <f t="shared" si="7"/>
        <v>44964</v>
      </c>
      <c r="G88">
        <f t="shared" si="5"/>
        <v>0</v>
      </c>
      <c r="H88" s="11">
        <v>45562</v>
      </c>
      <c r="I88">
        <v>450</v>
      </c>
    </row>
    <row r="89" spans="1:9" x14ac:dyDescent="0.2">
      <c r="A89" s="7">
        <f t="shared" si="6"/>
        <v>44965</v>
      </c>
      <c r="B89">
        <f t="shared" si="4"/>
        <v>0</v>
      </c>
      <c r="C89" s="8">
        <v>45566</v>
      </c>
      <c r="D89">
        <v>1</v>
      </c>
      <c r="F89" s="10">
        <f t="shared" si="7"/>
        <v>44965</v>
      </c>
      <c r="G89">
        <f t="shared" si="5"/>
        <v>0</v>
      </c>
      <c r="H89" s="11">
        <v>45566</v>
      </c>
      <c r="I89">
        <v>700</v>
      </c>
    </row>
    <row r="90" spans="1:9" x14ac:dyDescent="0.2">
      <c r="A90" s="7">
        <f t="shared" si="6"/>
        <v>44966</v>
      </c>
      <c r="B90">
        <f t="shared" si="4"/>
        <v>1</v>
      </c>
      <c r="C90" s="8">
        <v>45571</v>
      </c>
      <c r="D90">
        <v>1</v>
      </c>
      <c r="F90" s="10">
        <f t="shared" si="7"/>
        <v>44966</v>
      </c>
      <c r="G90">
        <f t="shared" si="5"/>
        <v>300</v>
      </c>
      <c r="H90" s="11">
        <v>45571</v>
      </c>
      <c r="I90">
        <v>300</v>
      </c>
    </row>
    <row r="91" spans="1:9" x14ac:dyDescent="0.2">
      <c r="A91" s="7">
        <f t="shared" si="6"/>
        <v>44967</v>
      </c>
      <c r="B91">
        <f t="shared" si="4"/>
        <v>0</v>
      </c>
      <c r="C91" s="7">
        <v>45581</v>
      </c>
      <c r="D91">
        <v>1</v>
      </c>
      <c r="F91" s="10">
        <f t="shared" si="7"/>
        <v>44967</v>
      </c>
      <c r="G91">
        <f t="shared" si="5"/>
        <v>0</v>
      </c>
      <c r="H91" s="11">
        <v>45581</v>
      </c>
      <c r="I91">
        <v>450</v>
      </c>
    </row>
    <row r="92" spans="1:9" x14ac:dyDescent="0.2">
      <c r="A92" s="7">
        <f t="shared" si="6"/>
        <v>44968</v>
      </c>
      <c r="B92">
        <f t="shared" si="4"/>
        <v>0</v>
      </c>
      <c r="C92" s="7">
        <v>45588</v>
      </c>
      <c r="D92">
        <v>1</v>
      </c>
      <c r="F92" s="10">
        <f t="shared" si="7"/>
        <v>44968</v>
      </c>
      <c r="G92">
        <f t="shared" si="5"/>
        <v>0</v>
      </c>
      <c r="H92" s="11">
        <v>45588</v>
      </c>
      <c r="I92">
        <v>700</v>
      </c>
    </row>
    <row r="93" spans="1:9" x14ac:dyDescent="0.2">
      <c r="A93" s="7">
        <f t="shared" si="6"/>
        <v>44969</v>
      </c>
      <c r="B93">
        <f t="shared" si="4"/>
        <v>0</v>
      </c>
      <c r="C93" s="7">
        <v>45590</v>
      </c>
      <c r="D93">
        <v>1</v>
      </c>
      <c r="F93" s="10">
        <f t="shared" si="7"/>
        <v>44969</v>
      </c>
      <c r="G93">
        <f t="shared" si="5"/>
        <v>0</v>
      </c>
      <c r="H93" s="11">
        <v>45590</v>
      </c>
      <c r="I93">
        <v>300</v>
      </c>
    </row>
    <row r="94" spans="1:9" x14ac:dyDescent="0.2">
      <c r="A94" s="7">
        <f t="shared" si="6"/>
        <v>44970</v>
      </c>
      <c r="B94">
        <f t="shared" si="4"/>
        <v>0</v>
      </c>
      <c r="C94" s="7">
        <v>45593</v>
      </c>
      <c r="D94">
        <v>1</v>
      </c>
      <c r="F94" s="10">
        <f t="shared" si="7"/>
        <v>44970</v>
      </c>
      <c r="G94">
        <f t="shared" si="5"/>
        <v>0</v>
      </c>
      <c r="H94" s="11">
        <v>45593</v>
      </c>
      <c r="I94">
        <v>450</v>
      </c>
    </row>
    <row r="95" spans="1:9" x14ac:dyDescent="0.2">
      <c r="A95" s="7">
        <f t="shared" si="6"/>
        <v>44971</v>
      </c>
      <c r="B95">
        <f t="shared" si="4"/>
        <v>1</v>
      </c>
      <c r="C95" s="7">
        <v>45598</v>
      </c>
      <c r="D95">
        <v>1</v>
      </c>
      <c r="F95" s="10">
        <f t="shared" si="7"/>
        <v>44971</v>
      </c>
      <c r="G95">
        <f t="shared" si="5"/>
        <v>450</v>
      </c>
      <c r="H95" s="11">
        <v>45598</v>
      </c>
      <c r="I95">
        <v>700</v>
      </c>
    </row>
    <row r="96" spans="1:9" x14ac:dyDescent="0.2">
      <c r="A96" s="7">
        <f t="shared" si="6"/>
        <v>44972</v>
      </c>
      <c r="B96">
        <f t="shared" si="4"/>
        <v>0</v>
      </c>
      <c r="C96" s="7"/>
      <c r="F96" s="10">
        <f t="shared" si="7"/>
        <v>44972</v>
      </c>
      <c r="G96">
        <f t="shared" si="5"/>
        <v>0</v>
      </c>
    </row>
    <row r="97" spans="1:7" x14ac:dyDescent="0.2">
      <c r="A97" s="7">
        <f t="shared" si="6"/>
        <v>44973</v>
      </c>
      <c r="B97">
        <f t="shared" si="4"/>
        <v>0</v>
      </c>
      <c r="C97" s="7"/>
      <c r="F97" s="10">
        <f t="shared" si="7"/>
        <v>44973</v>
      </c>
      <c r="G97">
        <f t="shared" si="5"/>
        <v>0</v>
      </c>
    </row>
    <row r="98" spans="1:7" x14ac:dyDescent="0.2">
      <c r="A98" s="7">
        <f t="shared" si="6"/>
        <v>44974</v>
      </c>
      <c r="B98">
        <f t="shared" si="4"/>
        <v>0</v>
      </c>
      <c r="C98" s="7"/>
      <c r="F98" s="10">
        <f t="shared" si="7"/>
        <v>44974</v>
      </c>
      <c r="G98">
        <f t="shared" si="5"/>
        <v>0</v>
      </c>
    </row>
    <row r="99" spans="1:7" x14ac:dyDescent="0.2">
      <c r="A99" s="7">
        <f t="shared" si="6"/>
        <v>44975</v>
      </c>
      <c r="B99">
        <f t="shared" si="4"/>
        <v>1</v>
      </c>
      <c r="C99" s="7"/>
      <c r="F99" s="10">
        <f t="shared" si="7"/>
        <v>44975</v>
      </c>
      <c r="G99">
        <f t="shared" si="5"/>
        <v>700</v>
      </c>
    </row>
    <row r="100" spans="1:7" x14ac:dyDescent="0.2">
      <c r="A100" s="7">
        <f t="shared" si="6"/>
        <v>44976</v>
      </c>
      <c r="B100">
        <f t="shared" si="4"/>
        <v>1</v>
      </c>
      <c r="C100" s="7"/>
      <c r="F100" s="10">
        <f t="shared" si="7"/>
        <v>44976</v>
      </c>
      <c r="G100">
        <f t="shared" si="5"/>
        <v>300</v>
      </c>
    </row>
    <row r="101" spans="1:7" x14ac:dyDescent="0.2">
      <c r="A101" s="7">
        <f t="shared" si="6"/>
        <v>44977</v>
      </c>
      <c r="B101">
        <f t="shared" si="4"/>
        <v>0</v>
      </c>
      <c r="C101" s="7"/>
      <c r="F101" s="10">
        <f t="shared" si="7"/>
        <v>44977</v>
      </c>
      <c r="G101">
        <f t="shared" si="5"/>
        <v>0</v>
      </c>
    </row>
    <row r="102" spans="1:7" x14ac:dyDescent="0.2">
      <c r="A102" s="7">
        <f t="shared" si="6"/>
        <v>44978</v>
      </c>
      <c r="B102">
        <f t="shared" si="4"/>
        <v>1</v>
      </c>
      <c r="C102" s="7"/>
      <c r="F102" s="10">
        <f t="shared" si="7"/>
        <v>44978</v>
      </c>
      <c r="G102">
        <f t="shared" si="5"/>
        <v>450</v>
      </c>
    </row>
    <row r="103" spans="1:7" x14ac:dyDescent="0.2">
      <c r="A103" s="7">
        <f t="shared" si="6"/>
        <v>44979</v>
      </c>
      <c r="B103">
        <f t="shared" si="4"/>
        <v>1</v>
      </c>
      <c r="C103" s="7"/>
      <c r="F103" s="10">
        <f t="shared" si="7"/>
        <v>44979</v>
      </c>
      <c r="G103">
        <f t="shared" si="5"/>
        <v>700</v>
      </c>
    </row>
    <row r="104" spans="1:7" x14ac:dyDescent="0.2">
      <c r="A104" s="7">
        <f t="shared" si="6"/>
        <v>44980</v>
      </c>
      <c r="B104">
        <f t="shared" si="4"/>
        <v>0</v>
      </c>
      <c r="C104" s="7"/>
      <c r="F104" s="10">
        <f t="shared" si="7"/>
        <v>44980</v>
      </c>
      <c r="G104">
        <f t="shared" si="5"/>
        <v>0</v>
      </c>
    </row>
    <row r="105" spans="1:7" x14ac:dyDescent="0.2">
      <c r="A105" s="7">
        <f t="shared" si="6"/>
        <v>44981</v>
      </c>
      <c r="B105">
        <f t="shared" si="4"/>
        <v>0</v>
      </c>
      <c r="C105" s="7"/>
      <c r="F105" s="10">
        <f t="shared" si="7"/>
        <v>44981</v>
      </c>
      <c r="G105">
        <f t="shared" si="5"/>
        <v>0</v>
      </c>
    </row>
    <row r="106" spans="1:7" x14ac:dyDescent="0.2">
      <c r="A106" s="7">
        <f t="shared" si="6"/>
        <v>44982</v>
      </c>
      <c r="B106">
        <f t="shared" si="4"/>
        <v>1</v>
      </c>
      <c r="C106" s="7"/>
      <c r="F106" s="10">
        <f t="shared" si="7"/>
        <v>44982</v>
      </c>
      <c r="G106">
        <f t="shared" si="5"/>
        <v>300</v>
      </c>
    </row>
    <row r="107" spans="1:7" x14ac:dyDescent="0.2">
      <c r="A107" s="7">
        <f t="shared" si="6"/>
        <v>44983</v>
      </c>
      <c r="B107">
        <f t="shared" si="4"/>
        <v>0</v>
      </c>
      <c r="C107" s="7"/>
      <c r="F107" s="10">
        <f t="shared" si="7"/>
        <v>44983</v>
      </c>
      <c r="G107">
        <f t="shared" si="5"/>
        <v>0</v>
      </c>
    </row>
    <row r="108" spans="1:7" x14ac:dyDescent="0.2">
      <c r="A108" s="7">
        <f t="shared" si="6"/>
        <v>44984</v>
      </c>
      <c r="B108">
        <f t="shared" si="4"/>
        <v>0</v>
      </c>
      <c r="C108" s="7"/>
      <c r="F108" s="10">
        <f t="shared" si="7"/>
        <v>44984</v>
      </c>
      <c r="G108">
        <f t="shared" si="5"/>
        <v>0</v>
      </c>
    </row>
    <row r="109" spans="1:7" x14ac:dyDescent="0.2">
      <c r="A109" s="7">
        <f t="shared" si="6"/>
        <v>44985</v>
      </c>
      <c r="B109">
        <f t="shared" si="4"/>
        <v>0</v>
      </c>
      <c r="C109" s="7"/>
      <c r="F109" s="10">
        <f t="shared" si="7"/>
        <v>44985</v>
      </c>
      <c r="G109">
        <f t="shared" si="5"/>
        <v>0</v>
      </c>
    </row>
    <row r="110" spans="1:7" x14ac:dyDescent="0.2">
      <c r="A110" s="7">
        <f t="shared" si="6"/>
        <v>44986</v>
      </c>
      <c r="B110">
        <f t="shared" si="4"/>
        <v>0</v>
      </c>
      <c r="C110" s="7"/>
      <c r="F110" s="10">
        <f t="shared" si="7"/>
        <v>44986</v>
      </c>
      <c r="G110">
        <f t="shared" si="5"/>
        <v>0</v>
      </c>
    </row>
    <row r="111" spans="1:7" x14ac:dyDescent="0.2">
      <c r="A111" s="7">
        <f t="shared" si="6"/>
        <v>44987</v>
      </c>
      <c r="B111">
        <f t="shared" si="4"/>
        <v>0</v>
      </c>
      <c r="C111" s="7"/>
      <c r="F111" s="10">
        <f t="shared" si="7"/>
        <v>44987</v>
      </c>
      <c r="G111">
        <f t="shared" si="5"/>
        <v>0</v>
      </c>
    </row>
    <row r="112" spans="1:7" x14ac:dyDescent="0.2">
      <c r="A112" s="7">
        <f t="shared" si="6"/>
        <v>44988</v>
      </c>
      <c r="B112">
        <f t="shared" si="4"/>
        <v>0</v>
      </c>
      <c r="C112" s="7"/>
      <c r="F112" s="10">
        <f t="shared" si="7"/>
        <v>44988</v>
      </c>
      <c r="G112">
        <f t="shared" si="5"/>
        <v>0</v>
      </c>
    </row>
    <row r="113" spans="1:7" x14ac:dyDescent="0.2">
      <c r="A113" s="7">
        <f t="shared" si="6"/>
        <v>44989</v>
      </c>
      <c r="B113">
        <f t="shared" si="4"/>
        <v>0</v>
      </c>
      <c r="C113" s="7"/>
      <c r="F113" s="10">
        <f t="shared" si="7"/>
        <v>44989</v>
      </c>
      <c r="G113">
        <f t="shared" si="5"/>
        <v>0</v>
      </c>
    </row>
    <row r="114" spans="1:7" x14ac:dyDescent="0.2">
      <c r="A114" s="7">
        <f t="shared" si="6"/>
        <v>44990</v>
      </c>
      <c r="B114">
        <f t="shared" si="4"/>
        <v>0</v>
      </c>
      <c r="C114" s="7"/>
      <c r="F114" s="10">
        <f t="shared" si="7"/>
        <v>44990</v>
      </c>
      <c r="G114">
        <f t="shared" si="5"/>
        <v>0</v>
      </c>
    </row>
    <row r="115" spans="1:7" x14ac:dyDescent="0.2">
      <c r="A115" s="7">
        <f t="shared" si="6"/>
        <v>44991</v>
      </c>
      <c r="B115">
        <f t="shared" si="4"/>
        <v>0</v>
      </c>
      <c r="C115" s="7"/>
      <c r="F115" s="10">
        <f t="shared" si="7"/>
        <v>44991</v>
      </c>
      <c r="G115">
        <f t="shared" si="5"/>
        <v>0</v>
      </c>
    </row>
    <row r="116" spans="1:7" x14ac:dyDescent="0.2">
      <c r="A116" s="7">
        <f t="shared" si="6"/>
        <v>44992</v>
      </c>
      <c r="B116">
        <f t="shared" si="4"/>
        <v>0</v>
      </c>
      <c r="C116" s="7"/>
      <c r="F116" s="10">
        <f t="shared" si="7"/>
        <v>44992</v>
      </c>
      <c r="G116">
        <f t="shared" si="5"/>
        <v>0</v>
      </c>
    </row>
    <row r="117" spans="1:7" x14ac:dyDescent="0.2">
      <c r="A117" s="7">
        <f t="shared" si="6"/>
        <v>44993</v>
      </c>
      <c r="B117">
        <f t="shared" si="4"/>
        <v>0</v>
      </c>
      <c r="C117" s="7"/>
      <c r="F117" s="10">
        <f t="shared" si="7"/>
        <v>44993</v>
      </c>
      <c r="G117">
        <f t="shared" si="5"/>
        <v>0</v>
      </c>
    </row>
    <row r="118" spans="1:7" x14ac:dyDescent="0.2">
      <c r="A118" s="7">
        <f t="shared" si="6"/>
        <v>44994</v>
      </c>
      <c r="B118">
        <f t="shared" si="4"/>
        <v>0</v>
      </c>
      <c r="C118" s="7"/>
      <c r="F118" s="10">
        <f t="shared" si="7"/>
        <v>44994</v>
      </c>
      <c r="G118">
        <f t="shared" si="5"/>
        <v>0</v>
      </c>
    </row>
    <row r="119" spans="1:7" x14ac:dyDescent="0.2">
      <c r="A119" s="7">
        <f t="shared" si="6"/>
        <v>44995</v>
      </c>
      <c r="B119">
        <f t="shared" si="4"/>
        <v>0</v>
      </c>
      <c r="C119" s="7"/>
      <c r="F119" s="10">
        <f t="shared" si="7"/>
        <v>44995</v>
      </c>
      <c r="G119">
        <f t="shared" si="5"/>
        <v>0</v>
      </c>
    </row>
    <row r="120" spans="1:7" x14ac:dyDescent="0.2">
      <c r="A120" s="7">
        <f t="shared" si="6"/>
        <v>44996</v>
      </c>
      <c r="B120">
        <f t="shared" si="4"/>
        <v>0</v>
      </c>
      <c r="C120" s="7"/>
      <c r="F120" s="10">
        <f t="shared" si="7"/>
        <v>44996</v>
      </c>
      <c r="G120">
        <f t="shared" si="5"/>
        <v>0</v>
      </c>
    </row>
    <row r="121" spans="1:7" x14ac:dyDescent="0.2">
      <c r="A121" s="7">
        <f t="shared" si="6"/>
        <v>44997</v>
      </c>
      <c r="B121">
        <f t="shared" si="4"/>
        <v>0</v>
      </c>
      <c r="C121" s="7"/>
      <c r="F121" s="10">
        <f t="shared" si="7"/>
        <v>44997</v>
      </c>
      <c r="G121">
        <f t="shared" si="5"/>
        <v>0</v>
      </c>
    </row>
    <row r="122" spans="1:7" x14ac:dyDescent="0.2">
      <c r="A122" s="7">
        <f t="shared" si="6"/>
        <v>44998</v>
      </c>
      <c r="B122">
        <f t="shared" si="4"/>
        <v>0</v>
      </c>
      <c r="C122" s="7"/>
      <c r="F122" s="10">
        <f t="shared" si="7"/>
        <v>44998</v>
      </c>
      <c r="G122">
        <f t="shared" si="5"/>
        <v>0</v>
      </c>
    </row>
    <row r="123" spans="1:7" x14ac:dyDescent="0.2">
      <c r="A123" s="7">
        <f t="shared" si="6"/>
        <v>44999</v>
      </c>
      <c r="B123">
        <f t="shared" si="4"/>
        <v>1</v>
      </c>
      <c r="C123" s="7"/>
      <c r="F123" s="10">
        <f t="shared" si="7"/>
        <v>44999</v>
      </c>
      <c r="G123">
        <f t="shared" si="5"/>
        <v>450</v>
      </c>
    </row>
    <row r="124" spans="1:7" x14ac:dyDescent="0.2">
      <c r="A124" s="7">
        <f t="shared" si="6"/>
        <v>45000</v>
      </c>
      <c r="B124">
        <f t="shared" si="4"/>
        <v>0</v>
      </c>
      <c r="F124" s="10">
        <f t="shared" si="7"/>
        <v>45000</v>
      </c>
      <c r="G124">
        <f t="shared" si="5"/>
        <v>0</v>
      </c>
    </row>
    <row r="125" spans="1:7" x14ac:dyDescent="0.2">
      <c r="A125" s="7">
        <f t="shared" si="6"/>
        <v>45001</v>
      </c>
      <c r="B125">
        <f t="shared" si="4"/>
        <v>0</v>
      </c>
      <c r="F125" s="10">
        <f t="shared" si="7"/>
        <v>45001</v>
      </c>
      <c r="G125">
        <f t="shared" si="5"/>
        <v>0</v>
      </c>
    </row>
    <row r="126" spans="1:7" x14ac:dyDescent="0.2">
      <c r="A126" s="7">
        <f t="shared" si="6"/>
        <v>45002</v>
      </c>
      <c r="B126">
        <f t="shared" si="4"/>
        <v>0</v>
      </c>
      <c r="F126" s="10">
        <f t="shared" si="7"/>
        <v>45002</v>
      </c>
      <c r="G126">
        <f t="shared" si="5"/>
        <v>0</v>
      </c>
    </row>
    <row r="127" spans="1:7" x14ac:dyDescent="0.2">
      <c r="A127" s="7">
        <f t="shared" si="6"/>
        <v>45003</v>
      </c>
      <c r="B127">
        <f t="shared" si="4"/>
        <v>0</v>
      </c>
      <c r="F127" s="10">
        <f t="shared" si="7"/>
        <v>45003</v>
      </c>
      <c r="G127">
        <f t="shared" si="5"/>
        <v>0</v>
      </c>
    </row>
    <row r="128" spans="1:7" x14ac:dyDescent="0.2">
      <c r="A128" s="7">
        <f t="shared" si="6"/>
        <v>45004</v>
      </c>
      <c r="B128">
        <f t="shared" si="4"/>
        <v>0</v>
      </c>
      <c r="F128" s="10">
        <f t="shared" si="7"/>
        <v>45004</v>
      </c>
      <c r="G128">
        <f t="shared" si="5"/>
        <v>0</v>
      </c>
    </row>
    <row r="129" spans="1:7" x14ac:dyDescent="0.2">
      <c r="A129" s="7">
        <f t="shared" si="6"/>
        <v>45005</v>
      </c>
      <c r="B129">
        <f t="shared" si="4"/>
        <v>0</v>
      </c>
      <c r="F129" s="10">
        <f t="shared" si="7"/>
        <v>45005</v>
      </c>
      <c r="G129">
        <f t="shared" si="5"/>
        <v>0</v>
      </c>
    </row>
    <row r="130" spans="1:7" x14ac:dyDescent="0.2">
      <c r="A130" s="7">
        <f t="shared" si="6"/>
        <v>45006</v>
      </c>
      <c r="B130">
        <f t="shared" ref="B130:B193" si="8">IFERROR(VLOOKUP(A130,$C$2:$D$1000,2,FALSE),0)</f>
        <v>0</v>
      </c>
      <c r="F130" s="10">
        <f t="shared" si="7"/>
        <v>45006</v>
      </c>
      <c r="G130">
        <f t="shared" si="5"/>
        <v>0</v>
      </c>
    </row>
    <row r="131" spans="1:7" x14ac:dyDescent="0.2">
      <c r="A131" s="7">
        <f t="shared" si="6"/>
        <v>45007</v>
      </c>
      <c r="B131">
        <f t="shared" si="8"/>
        <v>0</v>
      </c>
      <c r="F131" s="10">
        <f t="shared" si="7"/>
        <v>45007</v>
      </c>
      <c r="G131">
        <f t="shared" ref="G131:G194" si="9">IFERROR(VLOOKUP(F131,$H$2:$I$1000,2,FALSE),0)</f>
        <v>0</v>
      </c>
    </row>
    <row r="132" spans="1:7" x14ac:dyDescent="0.2">
      <c r="A132" s="7">
        <f t="shared" ref="A132:A195" si="10">A131+1</f>
        <v>45008</v>
      </c>
      <c r="B132">
        <f t="shared" si="8"/>
        <v>0</v>
      </c>
      <c r="F132" s="10">
        <f t="shared" ref="F132:F195" si="11">F131+1</f>
        <v>45008</v>
      </c>
      <c r="G132">
        <f t="shared" si="9"/>
        <v>0</v>
      </c>
    </row>
    <row r="133" spans="1:7" x14ac:dyDescent="0.2">
      <c r="A133" s="7">
        <f t="shared" si="10"/>
        <v>45009</v>
      </c>
      <c r="B133">
        <f t="shared" si="8"/>
        <v>0</v>
      </c>
      <c r="F133" s="10">
        <f t="shared" si="11"/>
        <v>45009</v>
      </c>
      <c r="G133">
        <f t="shared" si="9"/>
        <v>0</v>
      </c>
    </row>
    <row r="134" spans="1:7" x14ac:dyDescent="0.2">
      <c r="A134" s="7">
        <f t="shared" si="10"/>
        <v>45010</v>
      </c>
      <c r="B134">
        <f t="shared" si="8"/>
        <v>0</v>
      </c>
      <c r="F134" s="10">
        <f t="shared" si="11"/>
        <v>45010</v>
      </c>
      <c r="G134">
        <f t="shared" si="9"/>
        <v>0</v>
      </c>
    </row>
    <row r="135" spans="1:7" x14ac:dyDescent="0.2">
      <c r="A135" s="7">
        <f t="shared" si="10"/>
        <v>45011</v>
      </c>
      <c r="B135">
        <f t="shared" si="8"/>
        <v>0</v>
      </c>
      <c r="F135" s="10">
        <f t="shared" si="11"/>
        <v>45011</v>
      </c>
      <c r="G135">
        <f t="shared" si="9"/>
        <v>0</v>
      </c>
    </row>
    <row r="136" spans="1:7" x14ac:dyDescent="0.2">
      <c r="A136" s="7">
        <f t="shared" si="10"/>
        <v>45012</v>
      </c>
      <c r="B136">
        <f t="shared" si="8"/>
        <v>0</v>
      </c>
      <c r="F136" s="10">
        <f t="shared" si="11"/>
        <v>45012</v>
      </c>
      <c r="G136">
        <f t="shared" si="9"/>
        <v>0</v>
      </c>
    </row>
    <row r="137" spans="1:7" x14ac:dyDescent="0.2">
      <c r="A137" s="7">
        <f t="shared" si="10"/>
        <v>45013</v>
      </c>
      <c r="B137">
        <f t="shared" si="8"/>
        <v>0</v>
      </c>
      <c r="F137" s="10">
        <f t="shared" si="11"/>
        <v>45013</v>
      </c>
      <c r="G137">
        <f t="shared" si="9"/>
        <v>0</v>
      </c>
    </row>
    <row r="138" spans="1:7" x14ac:dyDescent="0.2">
      <c r="A138" s="7">
        <f t="shared" si="10"/>
        <v>45014</v>
      </c>
      <c r="B138">
        <f t="shared" si="8"/>
        <v>0</v>
      </c>
      <c r="F138" s="10">
        <f t="shared" si="11"/>
        <v>45014</v>
      </c>
      <c r="G138">
        <f t="shared" si="9"/>
        <v>0</v>
      </c>
    </row>
    <row r="139" spans="1:7" x14ac:dyDescent="0.2">
      <c r="A139" s="7">
        <f t="shared" si="10"/>
        <v>45015</v>
      </c>
      <c r="B139">
        <f t="shared" si="8"/>
        <v>0</v>
      </c>
      <c r="F139" s="10">
        <f t="shared" si="11"/>
        <v>45015</v>
      </c>
      <c r="G139">
        <f t="shared" si="9"/>
        <v>0</v>
      </c>
    </row>
    <row r="140" spans="1:7" x14ac:dyDescent="0.2">
      <c r="A140" s="7">
        <f t="shared" si="10"/>
        <v>45016</v>
      </c>
      <c r="B140">
        <f t="shared" si="8"/>
        <v>0</v>
      </c>
      <c r="F140" s="10">
        <f t="shared" si="11"/>
        <v>45016</v>
      </c>
      <c r="G140">
        <f t="shared" si="9"/>
        <v>0</v>
      </c>
    </row>
    <row r="141" spans="1:7" x14ac:dyDescent="0.2">
      <c r="A141" s="7">
        <f t="shared" si="10"/>
        <v>45017</v>
      </c>
      <c r="B141">
        <f t="shared" si="8"/>
        <v>0</v>
      </c>
      <c r="F141" s="10">
        <f t="shared" si="11"/>
        <v>45017</v>
      </c>
      <c r="G141">
        <f t="shared" si="9"/>
        <v>0</v>
      </c>
    </row>
    <row r="142" spans="1:7" x14ac:dyDescent="0.2">
      <c r="A142" s="7">
        <f t="shared" si="10"/>
        <v>45018</v>
      </c>
      <c r="B142">
        <f t="shared" si="8"/>
        <v>0</v>
      </c>
      <c r="F142" s="10">
        <f t="shared" si="11"/>
        <v>45018</v>
      </c>
      <c r="G142">
        <f t="shared" si="9"/>
        <v>0</v>
      </c>
    </row>
    <row r="143" spans="1:7" x14ac:dyDescent="0.2">
      <c r="A143" s="7">
        <f t="shared" si="10"/>
        <v>45019</v>
      </c>
      <c r="B143">
        <f t="shared" si="8"/>
        <v>1</v>
      </c>
      <c r="F143" s="10">
        <f t="shared" si="11"/>
        <v>45019</v>
      </c>
      <c r="G143">
        <f t="shared" si="9"/>
        <v>700</v>
      </c>
    </row>
    <row r="144" spans="1:7" x14ac:dyDescent="0.2">
      <c r="A144" s="7">
        <f t="shared" si="10"/>
        <v>45020</v>
      </c>
      <c r="B144">
        <f t="shared" si="8"/>
        <v>0</v>
      </c>
      <c r="F144" s="10">
        <f t="shared" si="11"/>
        <v>45020</v>
      </c>
      <c r="G144">
        <f t="shared" si="9"/>
        <v>0</v>
      </c>
    </row>
    <row r="145" spans="1:7" x14ac:dyDescent="0.2">
      <c r="A145" s="7">
        <f t="shared" si="10"/>
        <v>45021</v>
      </c>
      <c r="B145">
        <f t="shared" si="8"/>
        <v>0</v>
      </c>
      <c r="F145" s="10">
        <f t="shared" si="11"/>
        <v>45021</v>
      </c>
      <c r="G145">
        <f t="shared" si="9"/>
        <v>0</v>
      </c>
    </row>
    <row r="146" spans="1:7" x14ac:dyDescent="0.2">
      <c r="A146" s="7">
        <f t="shared" si="10"/>
        <v>45022</v>
      </c>
      <c r="B146">
        <f t="shared" si="8"/>
        <v>0</v>
      </c>
      <c r="F146" s="10">
        <f t="shared" si="11"/>
        <v>45022</v>
      </c>
      <c r="G146">
        <f t="shared" si="9"/>
        <v>0</v>
      </c>
    </row>
    <row r="147" spans="1:7" x14ac:dyDescent="0.2">
      <c r="A147" s="7">
        <f t="shared" si="10"/>
        <v>45023</v>
      </c>
      <c r="B147">
        <f t="shared" si="8"/>
        <v>0</v>
      </c>
      <c r="F147" s="10">
        <f t="shared" si="11"/>
        <v>45023</v>
      </c>
      <c r="G147">
        <f t="shared" si="9"/>
        <v>0</v>
      </c>
    </row>
    <row r="148" spans="1:7" x14ac:dyDescent="0.2">
      <c r="A148" s="7">
        <f t="shared" si="10"/>
        <v>45024</v>
      </c>
      <c r="B148">
        <f t="shared" si="8"/>
        <v>0</v>
      </c>
      <c r="F148" s="10">
        <f t="shared" si="11"/>
        <v>45024</v>
      </c>
      <c r="G148">
        <f t="shared" si="9"/>
        <v>0</v>
      </c>
    </row>
    <row r="149" spans="1:7" x14ac:dyDescent="0.2">
      <c r="A149" s="7">
        <f t="shared" si="10"/>
        <v>45025</v>
      </c>
      <c r="B149">
        <f t="shared" si="8"/>
        <v>0</v>
      </c>
      <c r="F149" s="10">
        <f t="shared" si="11"/>
        <v>45025</v>
      </c>
      <c r="G149">
        <f t="shared" si="9"/>
        <v>0</v>
      </c>
    </row>
    <row r="150" spans="1:7" x14ac:dyDescent="0.2">
      <c r="A150" s="7">
        <f t="shared" si="10"/>
        <v>45026</v>
      </c>
      <c r="B150">
        <f t="shared" si="8"/>
        <v>1</v>
      </c>
      <c r="F150" s="10">
        <f t="shared" si="11"/>
        <v>45026</v>
      </c>
      <c r="G150">
        <f t="shared" si="9"/>
        <v>300</v>
      </c>
    </row>
    <row r="151" spans="1:7" x14ac:dyDescent="0.2">
      <c r="A151" s="7">
        <f t="shared" si="10"/>
        <v>45027</v>
      </c>
      <c r="B151">
        <f t="shared" si="8"/>
        <v>0</v>
      </c>
      <c r="F151" s="10">
        <f t="shared" si="11"/>
        <v>45027</v>
      </c>
      <c r="G151">
        <f t="shared" si="9"/>
        <v>0</v>
      </c>
    </row>
    <row r="152" spans="1:7" x14ac:dyDescent="0.2">
      <c r="A152" s="7">
        <f t="shared" si="10"/>
        <v>45028</v>
      </c>
      <c r="B152">
        <f t="shared" si="8"/>
        <v>1</v>
      </c>
      <c r="F152" s="10">
        <f t="shared" si="11"/>
        <v>45028</v>
      </c>
      <c r="G152">
        <f t="shared" si="9"/>
        <v>450</v>
      </c>
    </row>
    <row r="153" spans="1:7" x14ac:dyDescent="0.2">
      <c r="A153" s="7">
        <f t="shared" si="10"/>
        <v>45029</v>
      </c>
      <c r="B153">
        <f t="shared" si="8"/>
        <v>0</v>
      </c>
      <c r="F153" s="10">
        <f t="shared" si="11"/>
        <v>45029</v>
      </c>
      <c r="G153">
        <f t="shared" si="9"/>
        <v>0</v>
      </c>
    </row>
    <row r="154" spans="1:7" x14ac:dyDescent="0.2">
      <c r="A154" s="7">
        <f t="shared" si="10"/>
        <v>45030</v>
      </c>
      <c r="B154">
        <f t="shared" si="8"/>
        <v>0</v>
      </c>
      <c r="F154" s="10">
        <f t="shared" si="11"/>
        <v>45030</v>
      </c>
      <c r="G154">
        <f t="shared" si="9"/>
        <v>0</v>
      </c>
    </row>
    <row r="155" spans="1:7" x14ac:dyDescent="0.2">
      <c r="A155" s="7">
        <f t="shared" si="10"/>
        <v>45031</v>
      </c>
      <c r="B155">
        <f t="shared" si="8"/>
        <v>0</v>
      </c>
      <c r="F155" s="10">
        <f t="shared" si="11"/>
        <v>45031</v>
      </c>
      <c r="G155">
        <f t="shared" si="9"/>
        <v>0</v>
      </c>
    </row>
    <row r="156" spans="1:7" x14ac:dyDescent="0.2">
      <c r="A156" s="7">
        <f t="shared" si="10"/>
        <v>45032</v>
      </c>
      <c r="B156">
        <f t="shared" si="8"/>
        <v>0</v>
      </c>
      <c r="F156" s="10">
        <f t="shared" si="11"/>
        <v>45032</v>
      </c>
      <c r="G156">
        <f t="shared" si="9"/>
        <v>0</v>
      </c>
    </row>
    <row r="157" spans="1:7" x14ac:dyDescent="0.2">
      <c r="A157" s="7">
        <f t="shared" si="10"/>
        <v>45033</v>
      </c>
      <c r="B157">
        <f t="shared" si="8"/>
        <v>0</v>
      </c>
      <c r="F157" s="10">
        <f t="shared" si="11"/>
        <v>45033</v>
      </c>
      <c r="G157">
        <f t="shared" si="9"/>
        <v>0</v>
      </c>
    </row>
    <row r="158" spans="1:7" x14ac:dyDescent="0.2">
      <c r="A158" s="7">
        <f t="shared" si="10"/>
        <v>45034</v>
      </c>
      <c r="B158">
        <f t="shared" si="8"/>
        <v>0</v>
      </c>
      <c r="F158" s="10">
        <f t="shared" si="11"/>
        <v>45034</v>
      </c>
      <c r="G158">
        <f t="shared" si="9"/>
        <v>0</v>
      </c>
    </row>
    <row r="159" spans="1:7" x14ac:dyDescent="0.2">
      <c r="A159" s="7">
        <f t="shared" si="10"/>
        <v>45035</v>
      </c>
      <c r="B159">
        <f t="shared" si="8"/>
        <v>0</v>
      </c>
      <c r="F159" s="10">
        <f t="shared" si="11"/>
        <v>45035</v>
      </c>
      <c r="G159">
        <f t="shared" si="9"/>
        <v>0</v>
      </c>
    </row>
    <row r="160" spans="1:7" x14ac:dyDescent="0.2">
      <c r="A160" s="7">
        <f t="shared" si="10"/>
        <v>45036</v>
      </c>
      <c r="B160">
        <f t="shared" si="8"/>
        <v>1</v>
      </c>
      <c r="F160" s="10">
        <f t="shared" si="11"/>
        <v>45036</v>
      </c>
      <c r="G160">
        <f t="shared" si="9"/>
        <v>700</v>
      </c>
    </row>
    <row r="161" spans="1:7" x14ac:dyDescent="0.2">
      <c r="A161" s="7">
        <f t="shared" si="10"/>
        <v>45037</v>
      </c>
      <c r="B161">
        <f t="shared" si="8"/>
        <v>0</v>
      </c>
      <c r="F161" s="10">
        <f t="shared" si="11"/>
        <v>45037</v>
      </c>
      <c r="G161">
        <f t="shared" si="9"/>
        <v>0</v>
      </c>
    </row>
    <row r="162" spans="1:7" x14ac:dyDescent="0.2">
      <c r="A162" s="7">
        <f t="shared" si="10"/>
        <v>45038</v>
      </c>
      <c r="B162">
        <f t="shared" si="8"/>
        <v>0</v>
      </c>
      <c r="F162" s="10">
        <f t="shared" si="11"/>
        <v>45038</v>
      </c>
      <c r="G162">
        <f t="shared" si="9"/>
        <v>0</v>
      </c>
    </row>
    <row r="163" spans="1:7" x14ac:dyDescent="0.2">
      <c r="A163" s="7">
        <f t="shared" si="10"/>
        <v>45039</v>
      </c>
      <c r="B163">
        <f t="shared" si="8"/>
        <v>0</v>
      </c>
      <c r="F163" s="10">
        <f t="shared" si="11"/>
        <v>45039</v>
      </c>
      <c r="G163">
        <f t="shared" si="9"/>
        <v>0</v>
      </c>
    </row>
    <row r="164" spans="1:7" x14ac:dyDescent="0.2">
      <c r="A164" s="7">
        <f t="shared" si="10"/>
        <v>45040</v>
      </c>
      <c r="B164">
        <f t="shared" si="8"/>
        <v>1</v>
      </c>
      <c r="F164" s="10">
        <f t="shared" si="11"/>
        <v>45040</v>
      </c>
      <c r="G164">
        <f t="shared" si="9"/>
        <v>300</v>
      </c>
    </row>
    <row r="165" spans="1:7" x14ac:dyDescent="0.2">
      <c r="A165" s="7">
        <f t="shared" si="10"/>
        <v>45041</v>
      </c>
      <c r="B165">
        <f t="shared" si="8"/>
        <v>1</v>
      </c>
      <c r="F165" s="10">
        <f t="shared" si="11"/>
        <v>45041</v>
      </c>
      <c r="G165">
        <f t="shared" si="9"/>
        <v>450</v>
      </c>
    </row>
    <row r="166" spans="1:7" x14ac:dyDescent="0.2">
      <c r="A166" s="7">
        <f t="shared" si="10"/>
        <v>45042</v>
      </c>
      <c r="B166">
        <f t="shared" si="8"/>
        <v>0</v>
      </c>
      <c r="F166" s="10">
        <f t="shared" si="11"/>
        <v>45042</v>
      </c>
      <c r="G166">
        <f t="shared" si="9"/>
        <v>0</v>
      </c>
    </row>
    <row r="167" spans="1:7" x14ac:dyDescent="0.2">
      <c r="A167" s="7">
        <f t="shared" si="10"/>
        <v>45043</v>
      </c>
      <c r="B167">
        <f t="shared" si="8"/>
        <v>0</v>
      </c>
      <c r="F167" s="10">
        <f t="shared" si="11"/>
        <v>45043</v>
      </c>
      <c r="G167">
        <f t="shared" si="9"/>
        <v>0</v>
      </c>
    </row>
    <row r="168" spans="1:7" x14ac:dyDescent="0.2">
      <c r="A168" s="7">
        <f t="shared" si="10"/>
        <v>45044</v>
      </c>
      <c r="B168">
        <f t="shared" si="8"/>
        <v>0</v>
      </c>
      <c r="F168" s="10">
        <f t="shared" si="11"/>
        <v>45044</v>
      </c>
      <c r="G168">
        <f t="shared" si="9"/>
        <v>0</v>
      </c>
    </row>
    <row r="169" spans="1:7" x14ac:dyDescent="0.2">
      <c r="A169" s="7">
        <f t="shared" si="10"/>
        <v>45045</v>
      </c>
      <c r="B169">
        <f t="shared" si="8"/>
        <v>0</v>
      </c>
      <c r="F169" s="10">
        <f t="shared" si="11"/>
        <v>45045</v>
      </c>
      <c r="G169">
        <f t="shared" si="9"/>
        <v>0</v>
      </c>
    </row>
    <row r="170" spans="1:7" x14ac:dyDescent="0.2">
      <c r="A170" s="7">
        <f t="shared" si="10"/>
        <v>45046</v>
      </c>
      <c r="B170">
        <f t="shared" si="8"/>
        <v>0</v>
      </c>
      <c r="F170" s="10">
        <f t="shared" si="11"/>
        <v>45046</v>
      </c>
      <c r="G170">
        <f t="shared" si="9"/>
        <v>0</v>
      </c>
    </row>
    <row r="171" spans="1:7" x14ac:dyDescent="0.2">
      <c r="A171" s="7">
        <f t="shared" si="10"/>
        <v>45047</v>
      </c>
      <c r="B171">
        <f t="shared" si="8"/>
        <v>0</v>
      </c>
      <c r="F171" s="10">
        <f t="shared" si="11"/>
        <v>45047</v>
      </c>
      <c r="G171">
        <f t="shared" si="9"/>
        <v>0</v>
      </c>
    </row>
    <row r="172" spans="1:7" x14ac:dyDescent="0.2">
      <c r="A172" s="7">
        <f t="shared" si="10"/>
        <v>45048</v>
      </c>
      <c r="B172">
        <f t="shared" si="8"/>
        <v>1</v>
      </c>
      <c r="F172" s="10">
        <f t="shared" si="11"/>
        <v>45048</v>
      </c>
      <c r="G172">
        <f t="shared" si="9"/>
        <v>700</v>
      </c>
    </row>
    <row r="173" spans="1:7" x14ac:dyDescent="0.2">
      <c r="A173" s="7">
        <f t="shared" si="10"/>
        <v>45049</v>
      </c>
      <c r="B173">
        <f t="shared" si="8"/>
        <v>0</v>
      </c>
      <c r="F173" s="10">
        <f t="shared" si="11"/>
        <v>45049</v>
      </c>
      <c r="G173">
        <f t="shared" si="9"/>
        <v>0</v>
      </c>
    </row>
    <row r="174" spans="1:7" x14ac:dyDescent="0.2">
      <c r="A174" s="7">
        <f t="shared" si="10"/>
        <v>45050</v>
      </c>
      <c r="B174">
        <f t="shared" si="8"/>
        <v>0</v>
      </c>
      <c r="F174" s="10">
        <f t="shared" si="11"/>
        <v>45050</v>
      </c>
      <c r="G174">
        <f t="shared" si="9"/>
        <v>0</v>
      </c>
    </row>
    <row r="175" spans="1:7" x14ac:dyDescent="0.2">
      <c r="A175" s="7">
        <f t="shared" si="10"/>
        <v>45051</v>
      </c>
      <c r="B175">
        <f t="shared" si="8"/>
        <v>0</v>
      </c>
      <c r="F175" s="10">
        <f t="shared" si="11"/>
        <v>45051</v>
      </c>
      <c r="G175">
        <f t="shared" si="9"/>
        <v>0</v>
      </c>
    </row>
    <row r="176" spans="1:7" x14ac:dyDescent="0.2">
      <c r="A176" s="7">
        <f t="shared" si="10"/>
        <v>45052</v>
      </c>
      <c r="B176">
        <f t="shared" si="8"/>
        <v>0</v>
      </c>
      <c r="F176" s="10">
        <f t="shared" si="11"/>
        <v>45052</v>
      </c>
      <c r="G176">
        <f t="shared" si="9"/>
        <v>0</v>
      </c>
    </row>
    <row r="177" spans="1:7" x14ac:dyDescent="0.2">
      <c r="A177" s="7">
        <f t="shared" si="10"/>
        <v>45053</v>
      </c>
      <c r="B177">
        <f t="shared" si="8"/>
        <v>0</v>
      </c>
      <c r="F177" s="10">
        <f t="shared" si="11"/>
        <v>45053</v>
      </c>
      <c r="G177">
        <f t="shared" si="9"/>
        <v>0</v>
      </c>
    </row>
    <row r="178" spans="1:7" x14ac:dyDescent="0.2">
      <c r="A178" s="7">
        <f t="shared" si="10"/>
        <v>45054</v>
      </c>
      <c r="B178">
        <f t="shared" si="8"/>
        <v>0</v>
      </c>
      <c r="F178" s="10">
        <f t="shared" si="11"/>
        <v>45054</v>
      </c>
      <c r="G178">
        <f t="shared" si="9"/>
        <v>0</v>
      </c>
    </row>
    <row r="179" spans="1:7" x14ac:dyDescent="0.2">
      <c r="A179" s="7">
        <f t="shared" si="10"/>
        <v>45055</v>
      </c>
      <c r="B179">
        <f t="shared" si="8"/>
        <v>0</v>
      </c>
      <c r="F179" s="10">
        <f t="shared" si="11"/>
        <v>45055</v>
      </c>
      <c r="G179">
        <f t="shared" si="9"/>
        <v>0</v>
      </c>
    </row>
    <row r="180" spans="1:7" x14ac:dyDescent="0.2">
      <c r="A180" s="7">
        <f t="shared" si="10"/>
        <v>45056</v>
      </c>
      <c r="B180">
        <f t="shared" si="8"/>
        <v>0</v>
      </c>
      <c r="F180" s="10">
        <f t="shared" si="11"/>
        <v>45056</v>
      </c>
      <c r="G180">
        <f t="shared" si="9"/>
        <v>0</v>
      </c>
    </row>
    <row r="181" spans="1:7" x14ac:dyDescent="0.2">
      <c r="A181" s="7">
        <f t="shared" si="10"/>
        <v>45057</v>
      </c>
      <c r="B181">
        <f t="shared" si="8"/>
        <v>0</v>
      </c>
      <c r="F181" s="10">
        <f t="shared" si="11"/>
        <v>45057</v>
      </c>
      <c r="G181">
        <f t="shared" si="9"/>
        <v>0</v>
      </c>
    </row>
    <row r="182" spans="1:7" x14ac:dyDescent="0.2">
      <c r="A182" s="7">
        <f t="shared" si="10"/>
        <v>45058</v>
      </c>
      <c r="B182">
        <f t="shared" si="8"/>
        <v>0</v>
      </c>
      <c r="F182" s="10">
        <f t="shared" si="11"/>
        <v>45058</v>
      </c>
      <c r="G182">
        <f t="shared" si="9"/>
        <v>0</v>
      </c>
    </row>
    <row r="183" spans="1:7" x14ac:dyDescent="0.2">
      <c r="A183" s="7">
        <f t="shared" si="10"/>
        <v>45059</v>
      </c>
      <c r="B183">
        <f t="shared" si="8"/>
        <v>0</v>
      </c>
      <c r="F183" s="10">
        <f t="shared" si="11"/>
        <v>45059</v>
      </c>
      <c r="G183">
        <f t="shared" si="9"/>
        <v>0</v>
      </c>
    </row>
    <row r="184" spans="1:7" x14ac:dyDescent="0.2">
      <c r="A184" s="7">
        <f t="shared" si="10"/>
        <v>45060</v>
      </c>
      <c r="B184">
        <f t="shared" si="8"/>
        <v>0</v>
      </c>
      <c r="F184" s="10">
        <f t="shared" si="11"/>
        <v>45060</v>
      </c>
      <c r="G184">
        <f t="shared" si="9"/>
        <v>0</v>
      </c>
    </row>
    <row r="185" spans="1:7" x14ac:dyDescent="0.2">
      <c r="A185" s="7">
        <f t="shared" si="10"/>
        <v>45061</v>
      </c>
      <c r="B185">
        <f t="shared" si="8"/>
        <v>0</v>
      </c>
      <c r="F185" s="10">
        <f t="shared" si="11"/>
        <v>45061</v>
      </c>
      <c r="G185">
        <f t="shared" si="9"/>
        <v>0</v>
      </c>
    </row>
    <row r="186" spans="1:7" x14ac:dyDescent="0.2">
      <c r="A186" s="7">
        <f t="shared" si="10"/>
        <v>45062</v>
      </c>
      <c r="B186">
        <f t="shared" si="8"/>
        <v>0</v>
      </c>
      <c r="F186" s="10">
        <f t="shared" si="11"/>
        <v>45062</v>
      </c>
      <c r="G186">
        <f t="shared" si="9"/>
        <v>0</v>
      </c>
    </row>
    <row r="187" spans="1:7" x14ac:dyDescent="0.2">
      <c r="A187" s="7">
        <f t="shared" si="10"/>
        <v>45063</v>
      </c>
      <c r="B187">
        <f t="shared" si="8"/>
        <v>0</v>
      </c>
      <c r="F187" s="10">
        <f t="shared" si="11"/>
        <v>45063</v>
      </c>
      <c r="G187">
        <f t="shared" si="9"/>
        <v>0</v>
      </c>
    </row>
    <row r="188" spans="1:7" x14ac:dyDescent="0.2">
      <c r="A188" s="7">
        <f t="shared" si="10"/>
        <v>45064</v>
      </c>
      <c r="B188">
        <f t="shared" si="8"/>
        <v>0</v>
      </c>
      <c r="F188" s="10">
        <f t="shared" si="11"/>
        <v>45064</v>
      </c>
      <c r="G188">
        <f t="shared" si="9"/>
        <v>0</v>
      </c>
    </row>
    <row r="189" spans="1:7" x14ac:dyDescent="0.2">
      <c r="A189" s="7">
        <f t="shared" si="10"/>
        <v>45065</v>
      </c>
      <c r="B189">
        <f t="shared" si="8"/>
        <v>0</v>
      </c>
      <c r="F189" s="10">
        <f t="shared" si="11"/>
        <v>45065</v>
      </c>
      <c r="G189">
        <f t="shared" si="9"/>
        <v>0</v>
      </c>
    </row>
    <row r="190" spans="1:7" x14ac:dyDescent="0.2">
      <c r="A190" s="7">
        <f t="shared" si="10"/>
        <v>45066</v>
      </c>
      <c r="B190">
        <f t="shared" si="8"/>
        <v>0</v>
      </c>
      <c r="F190" s="10">
        <f t="shared" si="11"/>
        <v>45066</v>
      </c>
      <c r="G190">
        <f t="shared" si="9"/>
        <v>0</v>
      </c>
    </row>
    <row r="191" spans="1:7" x14ac:dyDescent="0.2">
      <c r="A191" s="7">
        <f t="shared" si="10"/>
        <v>45067</v>
      </c>
      <c r="B191">
        <f t="shared" si="8"/>
        <v>0</v>
      </c>
      <c r="F191" s="10">
        <f t="shared" si="11"/>
        <v>45067</v>
      </c>
      <c r="G191">
        <f t="shared" si="9"/>
        <v>0</v>
      </c>
    </row>
    <row r="192" spans="1:7" x14ac:dyDescent="0.2">
      <c r="A192" s="7">
        <f t="shared" si="10"/>
        <v>45068</v>
      </c>
      <c r="B192">
        <f t="shared" si="8"/>
        <v>0</v>
      </c>
      <c r="F192" s="10">
        <f t="shared" si="11"/>
        <v>45068</v>
      </c>
      <c r="G192">
        <f t="shared" si="9"/>
        <v>0</v>
      </c>
    </row>
    <row r="193" spans="1:7" x14ac:dyDescent="0.2">
      <c r="A193" s="7">
        <f t="shared" si="10"/>
        <v>45069</v>
      </c>
      <c r="B193">
        <f t="shared" si="8"/>
        <v>0</v>
      </c>
      <c r="F193" s="10">
        <f t="shared" si="11"/>
        <v>45069</v>
      </c>
      <c r="G193">
        <f t="shared" si="9"/>
        <v>0</v>
      </c>
    </row>
    <row r="194" spans="1:7" x14ac:dyDescent="0.2">
      <c r="A194" s="7">
        <f t="shared" si="10"/>
        <v>45070</v>
      </c>
      <c r="B194">
        <f t="shared" ref="B194:B257" si="12">IFERROR(VLOOKUP(A194,$C$2:$D$1000,2,FALSE),0)</f>
        <v>0</v>
      </c>
      <c r="F194" s="10">
        <f t="shared" si="11"/>
        <v>45070</v>
      </c>
      <c r="G194">
        <f t="shared" si="9"/>
        <v>0</v>
      </c>
    </row>
    <row r="195" spans="1:7" x14ac:dyDescent="0.2">
      <c r="A195" s="7">
        <f t="shared" si="10"/>
        <v>45071</v>
      </c>
      <c r="B195">
        <f t="shared" si="12"/>
        <v>1</v>
      </c>
      <c r="F195" s="10">
        <f t="shared" si="11"/>
        <v>45071</v>
      </c>
      <c r="G195">
        <f t="shared" ref="G195:G258" si="13">IFERROR(VLOOKUP(F195,$H$2:$I$1000,2,FALSE),0)</f>
        <v>300</v>
      </c>
    </row>
    <row r="196" spans="1:7" x14ac:dyDescent="0.2">
      <c r="A196" s="7">
        <f t="shared" ref="A196:A259" si="14">A195+1</f>
        <v>45072</v>
      </c>
      <c r="B196">
        <f t="shared" si="12"/>
        <v>1</v>
      </c>
      <c r="F196" s="10">
        <f t="shared" ref="F196:F259" si="15">F195+1</f>
        <v>45072</v>
      </c>
      <c r="G196">
        <f t="shared" si="13"/>
        <v>450</v>
      </c>
    </row>
    <row r="197" spans="1:7" x14ac:dyDescent="0.2">
      <c r="A197" s="7">
        <f t="shared" si="14"/>
        <v>45073</v>
      </c>
      <c r="B197">
        <f t="shared" si="12"/>
        <v>0</v>
      </c>
      <c r="F197" s="10">
        <f t="shared" si="15"/>
        <v>45073</v>
      </c>
      <c r="G197">
        <f t="shared" si="13"/>
        <v>0</v>
      </c>
    </row>
    <row r="198" spans="1:7" x14ac:dyDescent="0.2">
      <c r="A198" s="7">
        <f t="shared" si="14"/>
        <v>45074</v>
      </c>
      <c r="B198">
        <f t="shared" si="12"/>
        <v>0</v>
      </c>
      <c r="F198" s="10">
        <f t="shared" si="15"/>
        <v>45074</v>
      </c>
      <c r="G198">
        <f t="shared" si="13"/>
        <v>0</v>
      </c>
    </row>
    <row r="199" spans="1:7" x14ac:dyDescent="0.2">
      <c r="A199" s="7">
        <f t="shared" si="14"/>
        <v>45075</v>
      </c>
      <c r="B199">
        <f t="shared" si="12"/>
        <v>0</v>
      </c>
      <c r="F199" s="10">
        <f t="shared" si="15"/>
        <v>45075</v>
      </c>
      <c r="G199">
        <f t="shared" si="13"/>
        <v>0</v>
      </c>
    </row>
    <row r="200" spans="1:7" x14ac:dyDescent="0.2">
      <c r="A200" s="7">
        <f t="shared" si="14"/>
        <v>45076</v>
      </c>
      <c r="B200">
        <f t="shared" si="12"/>
        <v>0</v>
      </c>
      <c r="F200" s="10">
        <f t="shared" si="15"/>
        <v>45076</v>
      </c>
      <c r="G200">
        <f t="shared" si="13"/>
        <v>0</v>
      </c>
    </row>
    <row r="201" spans="1:7" x14ac:dyDescent="0.2">
      <c r="A201" s="7">
        <f t="shared" si="14"/>
        <v>45077</v>
      </c>
      <c r="B201">
        <f t="shared" si="12"/>
        <v>0</v>
      </c>
      <c r="F201" s="10">
        <f t="shared" si="15"/>
        <v>45077</v>
      </c>
      <c r="G201">
        <f t="shared" si="13"/>
        <v>0</v>
      </c>
    </row>
    <row r="202" spans="1:7" x14ac:dyDescent="0.2">
      <c r="A202" s="7">
        <f t="shared" si="14"/>
        <v>45078</v>
      </c>
      <c r="B202">
        <f t="shared" si="12"/>
        <v>0</v>
      </c>
      <c r="F202" s="10">
        <f t="shared" si="15"/>
        <v>45078</v>
      </c>
      <c r="G202">
        <f t="shared" si="13"/>
        <v>0</v>
      </c>
    </row>
    <row r="203" spans="1:7" x14ac:dyDescent="0.2">
      <c r="A203" s="7">
        <f t="shared" si="14"/>
        <v>45079</v>
      </c>
      <c r="B203">
        <f t="shared" si="12"/>
        <v>0</v>
      </c>
      <c r="F203" s="10">
        <f t="shared" si="15"/>
        <v>45079</v>
      </c>
      <c r="G203">
        <f t="shared" si="13"/>
        <v>0</v>
      </c>
    </row>
    <row r="204" spans="1:7" x14ac:dyDescent="0.2">
      <c r="A204" s="7">
        <f t="shared" si="14"/>
        <v>45080</v>
      </c>
      <c r="B204">
        <f t="shared" si="12"/>
        <v>0</v>
      </c>
      <c r="F204" s="10">
        <f t="shared" si="15"/>
        <v>45080</v>
      </c>
      <c r="G204">
        <f t="shared" si="13"/>
        <v>0</v>
      </c>
    </row>
    <row r="205" spans="1:7" x14ac:dyDescent="0.2">
      <c r="A205" s="7">
        <f t="shared" si="14"/>
        <v>45081</v>
      </c>
      <c r="B205">
        <f t="shared" si="12"/>
        <v>0</v>
      </c>
      <c r="F205" s="10">
        <f t="shared" si="15"/>
        <v>45081</v>
      </c>
      <c r="G205">
        <f t="shared" si="13"/>
        <v>0</v>
      </c>
    </row>
    <row r="206" spans="1:7" x14ac:dyDescent="0.2">
      <c r="A206" s="7">
        <f t="shared" si="14"/>
        <v>45082</v>
      </c>
      <c r="B206">
        <f t="shared" si="12"/>
        <v>0</v>
      </c>
      <c r="F206" s="10">
        <f t="shared" si="15"/>
        <v>45082</v>
      </c>
      <c r="G206">
        <f t="shared" si="13"/>
        <v>0</v>
      </c>
    </row>
    <row r="207" spans="1:7" x14ac:dyDescent="0.2">
      <c r="A207" s="7">
        <f t="shared" si="14"/>
        <v>45083</v>
      </c>
      <c r="B207">
        <f t="shared" si="12"/>
        <v>0</v>
      </c>
      <c r="F207" s="10">
        <f t="shared" si="15"/>
        <v>45083</v>
      </c>
      <c r="G207">
        <f t="shared" si="13"/>
        <v>0</v>
      </c>
    </row>
    <row r="208" spans="1:7" x14ac:dyDescent="0.2">
      <c r="A208" s="7">
        <f t="shared" si="14"/>
        <v>45084</v>
      </c>
      <c r="B208">
        <f t="shared" si="12"/>
        <v>0</v>
      </c>
      <c r="F208" s="10">
        <f t="shared" si="15"/>
        <v>45084</v>
      </c>
      <c r="G208">
        <f t="shared" si="13"/>
        <v>0</v>
      </c>
    </row>
    <row r="209" spans="1:7" x14ac:dyDescent="0.2">
      <c r="A209" s="7">
        <f t="shared" si="14"/>
        <v>45085</v>
      </c>
      <c r="B209">
        <f t="shared" si="12"/>
        <v>0</v>
      </c>
      <c r="F209" s="10">
        <f t="shared" si="15"/>
        <v>45085</v>
      </c>
      <c r="G209">
        <f t="shared" si="13"/>
        <v>0</v>
      </c>
    </row>
    <row r="210" spans="1:7" x14ac:dyDescent="0.2">
      <c r="A210" s="7">
        <f t="shared" si="14"/>
        <v>45086</v>
      </c>
      <c r="B210">
        <f t="shared" si="12"/>
        <v>0</v>
      </c>
      <c r="F210" s="10">
        <f t="shared" si="15"/>
        <v>45086</v>
      </c>
      <c r="G210">
        <f t="shared" si="13"/>
        <v>0</v>
      </c>
    </row>
    <row r="211" spans="1:7" x14ac:dyDescent="0.2">
      <c r="A211" s="7">
        <f t="shared" si="14"/>
        <v>45087</v>
      </c>
      <c r="B211">
        <f t="shared" si="12"/>
        <v>0</v>
      </c>
      <c r="F211" s="10">
        <f t="shared" si="15"/>
        <v>45087</v>
      </c>
      <c r="G211">
        <f t="shared" si="13"/>
        <v>0</v>
      </c>
    </row>
    <row r="212" spans="1:7" x14ac:dyDescent="0.2">
      <c r="A212" s="7">
        <f t="shared" si="14"/>
        <v>45088</v>
      </c>
      <c r="B212">
        <f t="shared" si="12"/>
        <v>0</v>
      </c>
      <c r="F212" s="10">
        <f t="shared" si="15"/>
        <v>45088</v>
      </c>
      <c r="G212">
        <f t="shared" si="13"/>
        <v>0</v>
      </c>
    </row>
    <row r="213" spans="1:7" x14ac:dyDescent="0.2">
      <c r="A213" s="7">
        <f t="shared" si="14"/>
        <v>45089</v>
      </c>
      <c r="B213">
        <f t="shared" si="12"/>
        <v>0</v>
      </c>
      <c r="F213" s="10">
        <f t="shared" si="15"/>
        <v>45089</v>
      </c>
      <c r="G213">
        <f t="shared" si="13"/>
        <v>0</v>
      </c>
    </row>
    <row r="214" spans="1:7" x14ac:dyDescent="0.2">
      <c r="A214" s="7">
        <f t="shared" si="14"/>
        <v>45090</v>
      </c>
      <c r="B214">
        <f t="shared" si="12"/>
        <v>0</v>
      </c>
      <c r="F214" s="10">
        <f t="shared" si="15"/>
        <v>45090</v>
      </c>
      <c r="G214">
        <f t="shared" si="13"/>
        <v>0</v>
      </c>
    </row>
    <row r="215" spans="1:7" x14ac:dyDescent="0.2">
      <c r="A215" s="7">
        <f t="shared" si="14"/>
        <v>45091</v>
      </c>
      <c r="B215">
        <f t="shared" si="12"/>
        <v>0</v>
      </c>
      <c r="F215" s="10">
        <f t="shared" si="15"/>
        <v>45091</v>
      </c>
      <c r="G215">
        <f t="shared" si="13"/>
        <v>0</v>
      </c>
    </row>
    <row r="216" spans="1:7" x14ac:dyDescent="0.2">
      <c r="A216" s="7">
        <f t="shared" si="14"/>
        <v>45092</v>
      </c>
      <c r="B216">
        <f t="shared" si="12"/>
        <v>0</v>
      </c>
      <c r="F216" s="10">
        <f t="shared" si="15"/>
        <v>45092</v>
      </c>
      <c r="G216">
        <f t="shared" si="13"/>
        <v>0</v>
      </c>
    </row>
    <row r="217" spans="1:7" x14ac:dyDescent="0.2">
      <c r="A217" s="7">
        <f t="shared" si="14"/>
        <v>45093</v>
      </c>
      <c r="B217">
        <f t="shared" si="12"/>
        <v>0</v>
      </c>
      <c r="F217" s="10">
        <f t="shared" si="15"/>
        <v>45093</v>
      </c>
      <c r="G217">
        <f t="shared" si="13"/>
        <v>0</v>
      </c>
    </row>
    <row r="218" spans="1:7" x14ac:dyDescent="0.2">
      <c r="A218" s="7">
        <f t="shared" si="14"/>
        <v>45094</v>
      </c>
      <c r="B218">
        <f t="shared" si="12"/>
        <v>1</v>
      </c>
      <c r="F218" s="10">
        <f t="shared" si="15"/>
        <v>45094</v>
      </c>
      <c r="G218">
        <f t="shared" si="13"/>
        <v>700</v>
      </c>
    </row>
    <row r="219" spans="1:7" x14ac:dyDescent="0.2">
      <c r="A219" s="7">
        <f t="shared" si="14"/>
        <v>45095</v>
      </c>
      <c r="B219">
        <f t="shared" si="12"/>
        <v>0</v>
      </c>
      <c r="F219" s="10">
        <f t="shared" si="15"/>
        <v>45095</v>
      </c>
      <c r="G219">
        <f t="shared" si="13"/>
        <v>0</v>
      </c>
    </row>
    <row r="220" spans="1:7" x14ac:dyDescent="0.2">
      <c r="A220" s="7">
        <f t="shared" si="14"/>
        <v>45096</v>
      </c>
      <c r="B220">
        <f t="shared" si="12"/>
        <v>0</v>
      </c>
      <c r="F220" s="10">
        <f t="shared" si="15"/>
        <v>45096</v>
      </c>
      <c r="G220">
        <f t="shared" si="13"/>
        <v>0</v>
      </c>
    </row>
    <row r="221" spans="1:7" x14ac:dyDescent="0.2">
      <c r="A221" s="7">
        <f t="shared" si="14"/>
        <v>45097</v>
      </c>
      <c r="B221">
        <f t="shared" si="12"/>
        <v>0</v>
      </c>
      <c r="F221" s="10">
        <f t="shared" si="15"/>
        <v>45097</v>
      </c>
      <c r="G221">
        <f t="shared" si="13"/>
        <v>0</v>
      </c>
    </row>
    <row r="222" spans="1:7" x14ac:dyDescent="0.2">
      <c r="A222" s="7">
        <f t="shared" si="14"/>
        <v>45098</v>
      </c>
      <c r="B222">
        <f t="shared" si="12"/>
        <v>0</v>
      </c>
      <c r="F222" s="10">
        <f t="shared" si="15"/>
        <v>45098</v>
      </c>
      <c r="G222">
        <f t="shared" si="13"/>
        <v>0</v>
      </c>
    </row>
    <row r="223" spans="1:7" x14ac:dyDescent="0.2">
      <c r="A223" s="7">
        <f t="shared" si="14"/>
        <v>45099</v>
      </c>
      <c r="B223">
        <f t="shared" si="12"/>
        <v>0</v>
      </c>
      <c r="F223" s="10">
        <f t="shared" si="15"/>
        <v>45099</v>
      </c>
      <c r="G223">
        <f t="shared" si="13"/>
        <v>0</v>
      </c>
    </row>
    <row r="224" spans="1:7" x14ac:dyDescent="0.2">
      <c r="A224" s="7">
        <f t="shared" si="14"/>
        <v>45100</v>
      </c>
      <c r="B224">
        <f t="shared" si="12"/>
        <v>0</v>
      </c>
      <c r="F224" s="10">
        <f t="shared" si="15"/>
        <v>45100</v>
      </c>
      <c r="G224">
        <f t="shared" si="13"/>
        <v>0</v>
      </c>
    </row>
    <row r="225" spans="1:7" x14ac:dyDescent="0.2">
      <c r="A225" s="7">
        <f t="shared" si="14"/>
        <v>45101</v>
      </c>
      <c r="B225">
        <f t="shared" si="12"/>
        <v>1</v>
      </c>
      <c r="F225" s="10">
        <f t="shared" si="15"/>
        <v>45101</v>
      </c>
      <c r="G225">
        <f t="shared" si="13"/>
        <v>300</v>
      </c>
    </row>
    <row r="226" spans="1:7" x14ac:dyDescent="0.2">
      <c r="A226" s="7">
        <f t="shared" si="14"/>
        <v>45102</v>
      </c>
      <c r="B226">
        <f t="shared" si="12"/>
        <v>0</v>
      </c>
      <c r="F226" s="10">
        <f t="shared" si="15"/>
        <v>45102</v>
      </c>
      <c r="G226">
        <f t="shared" si="13"/>
        <v>0</v>
      </c>
    </row>
    <row r="227" spans="1:7" x14ac:dyDescent="0.2">
      <c r="A227" s="7">
        <f t="shared" si="14"/>
        <v>45103</v>
      </c>
      <c r="B227">
        <f t="shared" si="12"/>
        <v>0</v>
      </c>
      <c r="F227" s="10">
        <f t="shared" si="15"/>
        <v>45103</v>
      </c>
      <c r="G227">
        <f t="shared" si="13"/>
        <v>0</v>
      </c>
    </row>
    <row r="228" spans="1:7" x14ac:dyDescent="0.2">
      <c r="A228" s="7">
        <f t="shared" si="14"/>
        <v>45104</v>
      </c>
      <c r="B228">
        <f t="shared" si="12"/>
        <v>0</v>
      </c>
      <c r="F228" s="10">
        <f t="shared" si="15"/>
        <v>45104</v>
      </c>
      <c r="G228">
        <f t="shared" si="13"/>
        <v>0</v>
      </c>
    </row>
    <row r="229" spans="1:7" x14ac:dyDescent="0.2">
      <c r="A229" s="7">
        <f t="shared" si="14"/>
        <v>45105</v>
      </c>
      <c r="B229">
        <f t="shared" si="12"/>
        <v>0</v>
      </c>
      <c r="F229" s="10">
        <f t="shared" si="15"/>
        <v>45105</v>
      </c>
      <c r="G229">
        <f t="shared" si="13"/>
        <v>0</v>
      </c>
    </row>
    <row r="230" spans="1:7" x14ac:dyDescent="0.2">
      <c r="A230" s="7">
        <f t="shared" si="14"/>
        <v>45106</v>
      </c>
      <c r="B230">
        <f t="shared" si="12"/>
        <v>0</v>
      </c>
      <c r="F230" s="10">
        <f t="shared" si="15"/>
        <v>45106</v>
      </c>
      <c r="G230">
        <f t="shared" si="13"/>
        <v>0</v>
      </c>
    </row>
    <row r="231" spans="1:7" x14ac:dyDescent="0.2">
      <c r="A231" s="7">
        <f t="shared" si="14"/>
        <v>45107</v>
      </c>
      <c r="B231">
        <f t="shared" si="12"/>
        <v>0</v>
      </c>
      <c r="F231" s="10">
        <f t="shared" si="15"/>
        <v>45107</v>
      </c>
      <c r="G231">
        <f t="shared" si="13"/>
        <v>0</v>
      </c>
    </row>
    <row r="232" spans="1:7" x14ac:dyDescent="0.2">
      <c r="A232" s="7">
        <f t="shared" si="14"/>
        <v>45108</v>
      </c>
      <c r="B232">
        <f t="shared" si="12"/>
        <v>0</v>
      </c>
      <c r="F232" s="10">
        <f t="shared" si="15"/>
        <v>45108</v>
      </c>
      <c r="G232">
        <f t="shared" si="13"/>
        <v>0</v>
      </c>
    </row>
    <row r="233" spans="1:7" x14ac:dyDescent="0.2">
      <c r="A233" s="7">
        <f t="shared" si="14"/>
        <v>45109</v>
      </c>
      <c r="B233">
        <f t="shared" si="12"/>
        <v>0</v>
      </c>
      <c r="F233" s="10">
        <f t="shared" si="15"/>
        <v>45109</v>
      </c>
      <c r="G233">
        <f t="shared" si="13"/>
        <v>0</v>
      </c>
    </row>
    <row r="234" spans="1:7" x14ac:dyDescent="0.2">
      <c r="A234" s="7">
        <f t="shared" si="14"/>
        <v>45110</v>
      </c>
      <c r="B234">
        <f t="shared" si="12"/>
        <v>0</v>
      </c>
      <c r="F234" s="10">
        <f t="shared" si="15"/>
        <v>45110</v>
      </c>
      <c r="G234">
        <f t="shared" si="13"/>
        <v>0</v>
      </c>
    </row>
    <row r="235" spans="1:7" x14ac:dyDescent="0.2">
      <c r="A235" s="7">
        <f t="shared" si="14"/>
        <v>45111</v>
      </c>
      <c r="B235">
        <f t="shared" si="12"/>
        <v>0</v>
      </c>
      <c r="F235" s="10">
        <f t="shared" si="15"/>
        <v>45111</v>
      </c>
      <c r="G235">
        <f t="shared" si="13"/>
        <v>0</v>
      </c>
    </row>
    <row r="236" spans="1:7" x14ac:dyDescent="0.2">
      <c r="A236" s="7">
        <f t="shared" si="14"/>
        <v>45112</v>
      </c>
      <c r="B236">
        <f t="shared" si="12"/>
        <v>0</v>
      </c>
      <c r="F236" s="10">
        <f t="shared" si="15"/>
        <v>45112</v>
      </c>
      <c r="G236">
        <f t="shared" si="13"/>
        <v>0</v>
      </c>
    </row>
    <row r="237" spans="1:7" x14ac:dyDescent="0.2">
      <c r="A237" s="7">
        <f t="shared" si="14"/>
        <v>45113</v>
      </c>
      <c r="B237">
        <f t="shared" si="12"/>
        <v>1</v>
      </c>
      <c r="F237" s="10">
        <f t="shared" si="15"/>
        <v>45113</v>
      </c>
      <c r="G237">
        <f t="shared" si="13"/>
        <v>450</v>
      </c>
    </row>
    <row r="238" spans="1:7" x14ac:dyDescent="0.2">
      <c r="A238" s="7">
        <f t="shared" si="14"/>
        <v>45114</v>
      </c>
      <c r="B238">
        <f t="shared" si="12"/>
        <v>1</v>
      </c>
      <c r="F238" s="10">
        <f t="shared" si="15"/>
        <v>45114</v>
      </c>
      <c r="G238">
        <f t="shared" si="13"/>
        <v>700</v>
      </c>
    </row>
    <row r="239" spans="1:7" x14ac:dyDescent="0.2">
      <c r="A239" s="7">
        <f t="shared" si="14"/>
        <v>45115</v>
      </c>
      <c r="B239">
        <f t="shared" si="12"/>
        <v>0</v>
      </c>
      <c r="F239" s="10">
        <f t="shared" si="15"/>
        <v>45115</v>
      </c>
      <c r="G239">
        <f t="shared" si="13"/>
        <v>0</v>
      </c>
    </row>
    <row r="240" spans="1:7" x14ac:dyDescent="0.2">
      <c r="A240" s="7">
        <f t="shared" si="14"/>
        <v>45116</v>
      </c>
      <c r="B240">
        <f t="shared" si="12"/>
        <v>0</v>
      </c>
      <c r="F240" s="10">
        <f t="shared" si="15"/>
        <v>45116</v>
      </c>
      <c r="G240">
        <f t="shared" si="13"/>
        <v>0</v>
      </c>
    </row>
    <row r="241" spans="1:7" x14ac:dyDescent="0.2">
      <c r="A241" s="7">
        <f t="shared" si="14"/>
        <v>45117</v>
      </c>
      <c r="B241">
        <f t="shared" si="12"/>
        <v>0</v>
      </c>
      <c r="F241" s="10">
        <f t="shared" si="15"/>
        <v>45117</v>
      </c>
      <c r="G241">
        <f t="shared" si="13"/>
        <v>0</v>
      </c>
    </row>
    <row r="242" spans="1:7" x14ac:dyDescent="0.2">
      <c r="A242" s="7">
        <f t="shared" si="14"/>
        <v>45118</v>
      </c>
      <c r="B242">
        <f t="shared" si="12"/>
        <v>0</v>
      </c>
      <c r="F242" s="10">
        <f t="shared" si="15"/>
        <v>45118</v>
      </c>
      <c r="G242">
        <f t="shared" si="13"/>
        <v>0</v>
      </c>
    </row>
    <row r="243" spans="1:7" x14ac:dyDescent="0.2">
      <c r="A243" s="7">
        <f t="shared" si="14"/>
        <v>45119</v>
      </c>
      <c r="B243">
        <f t="shared" si="12"/>
        <v>0</v>
      </c>
      <c r="F243" s="10">
        <f t="shared" si="15"/>
        <v>45119</v>
      </c>
      <c r="G243">
        <f t="shared" si="13"/>
        <v>0</v>
      </c>
    </row>
    <row r="244" spans="1:7" x14ac:dyDescent="0.2">
      <c r="A244" s="7">
        <f t="shared" si="14"/>
        <v>45120</v>
      </c>
      <c r="B244">
        <f t="shared" si="12"/>
        <v>0</v>
      </c>
      <c r="F244" s="10">
        <f t="shared" si="15"/>
        <v>45120</v>
      </c>
      <c r="G244">
        <f t="shared" si="13"/>
        <v>0</v>
      </c>
    </row>
    <row r="245" spans="1:7" x14ac:dyDescent="0.2">
      <c r="A245" s="7">
        <f t="shared" si="14"/>
        <v>45121</v>
      </c>
      <c r="B245">
        <f t="shared" si="12"/>
        <v>0</v>
      </c>
      <c r="F245" s="10">
        <f t="shared" si="15"/>
        <v>45121</v>
      </c>
      <c r="G245">
        <f t="shared" si="13"/>
        <v>0</v>
      </c>
    </row>
    <row r="246" spans="1:7" x14ac:dyDescent="0.2">
      <c r="A246" s="7">
        <f t="shared" si="14"/>
        <v>45122</v>
      </c>
      <c r="B246">
        <f t="shared" si="12"/>
        <v>0</v>
      </c>
      <c r="F246" s="10">
        <f t="shared" si="15"/>
        <v>45122</v>
      </c>
      <c r="G246">
        <f t="shared" si="13"/>
        <v>0</v>
      </c>
    </row>
    <row r="247" spans="1:7" x14ac:dyDescent="0.2">
      <c r="A247" s="7">
        <f t="shared" si="14"/>
        <v>45123</v>
      </c>
      <c r="B247">
        <f t="shared" si="12"/>
        <v>0</v>
      </c>
      <c r="F247" s="10">
        <f t="shared" si="15"/>
        <v>45123</v>
      </c>
      <c r="G247">
        <f t="shared" si="13"/>
        <v>0</v>
      </c>
    </row>
    <row r="248" spans="1:7" x14ac:dyDescent="0.2">
      <c r="A248" s="7">
        <f t="shared" si="14"/>
        <v>45124</v>
      </c>
      <c r="B248">
        <f t="shared" si="12"/>
        <v>0</v>
      </c>
      <c r="F248" s="10">
        <f t="shared" si="15"/>
        <v>45124</v>
      </c>
      <c r="G248">
        <f t="shared" si="13"/>
        <v>0</v>
      </c>
    </row>
    <row r="249" spans="1:7" x14ac:dyDescent="0.2">
      <c r="A249" s="7">
        <f t="shared" si="14"/>
        <v>45125</v>
      </c>
      <c r="B249">
        <f t="shared" si="12"/>
        <v>0</v>
      </c>
      <c r="F249" s="10">
        <f t="shared" si="15"/>
        <v>45125</v>
      </c>
      <c r="G249">
        <f t="shared" si="13"/>
        <v>0</v>
      </c>
    </row>
    <row r="250" spans="1:7" x14ac:dyDescent="0.2">
      <c r="A250" s="7">
        <f t="shared" si="14"/>
        <v>45126</v>
      </c>
      <c r="B250">
        <f t="shared" si="12"/>
        <v>0</v>
      </c>
      <c r="F250" s="10">
        <f t="shared" si="15"/>
        <v>45126</v>
      </c>
      <c r="G250">
        <f t="shared" si="13"/>
        <v>0</v>
      </c>
    </row>
    <row r="251" spans="1:7" x14ac:dyDescent="0.2">
      <c r="A251" s="7">
        <f t="shared" si="14"/>
        <v>45127</v>
      </c>
      <c r="B251">
        <f t="shared" si="12"/>
        <v>0</v>
      </c>
      <c r="F251" s="10">
        <f t="shared" si="15"/>
        <v>45127</v>
      </c>
      <c r="G251">
        <f t="shared" si="13"/>
        <v>0</v>
      </c>
    </row>
    <row r="252" spans="1:7" x14ac:dyDescent="0.2">
      <c r="A252" s="7">
        <f t="shared" si="14"/>
        <v>45128</v>
      </c>
      <c r="B252">
        <f t="shared" si="12"/>
        <v>0</v>
      </c>
      <c r="F252" s="10">
        <f t="shared" si="15"/>
        <v>45128</v>
      </c>
      <c r="G252">
        <f t="shared" si="13"/>
        <v>0</v>
      </c>
    </row>
    <row r="253" spans="1:7" x14ac:dyDescent="0.2">
      <c r="A253" s="7">
        <f t="shared" si="14"/>
        <v>45129</v>
      </c>
      <c r="B253">
        <f t="shared" si="12"/>
        <v>0</v>
      </c>
      <c r="F253" s="10">
        <f t="shared" si="15"/>
        <v>45129</v>
      </c>
      <c r="G253">
        <f t="shared" si="13"/>
        <v>0</v>
      </c>
    </row>
    <row r="254" spans="1:7" x14ac:dyDescent="0.2">
      <c r="A254" s="7">
        <f t="shared" si="14"/>
        <v>45130</v>
      </c>
      <c r="B254">
        <f t="shared" si="12"/>
        <v>0</v>
      </c>
      <c r="F254" s="10">
        <f t="shared" si="15"/>
        <v>45130</v>
      </c>
      <c r="G254">
        <f t="shared" si="13"/>
        <v>0</v>
      </c>
    </row>
    <row r="255" spans="1:7" x14ac:dyDescent="0.2">
      <c r="A255" s="7">
        <f t="shared" si="14"/>
        <v>45131</v>
      </c>
      <c r="B255">
        <f t="shared" si="12"/>
        <v>1</v>
      </c>
      <c r="F255" s="10">
        <f t="shared" si="15"/>
        <v>45131</v>
      </c>
      <c r="G255">
        <f t="shared" si="13"/>
        <v>300</v>
      </c>
    </row>
    <row r="256" spans="1:7" x14ac:dyDescent="0.2">
      <c r="A256" s="7">
        <f t="shared" si="14"/>
        <v>45132</v>
      </c>
      <c r="B256">
        <f t="shared" si="12"/>
        <v>0</v>
      </c>
      <c r="F256" s="10">
        <f t="shared" si="15"/>
        <v>45132</v>
      </c>
      <c r="G256">
        <f t="shared" si="13"/>
        <v>0</v>
      </c>
    </row>
    <row r="257" spans="1:7" x14ac:dyDescent="0.2">
      <c r="A257" s="7">
        <f t="shared" si="14"/>
        <v>45133</v>
      </c>
      <c r="B257">
        <f t="shared" si="12"/>
        <v>1</v>
      </c>
      <c r="F257" s="10">
        <f t="shared" si="15"/>
        <v>45133</v>
      </c>
      <c r="G257">
        <f t="shared" si="13"/>
        <v>450</v>
      </c>
    </row>
    <row r="258" spans="1:7" x14ac:dyDescent="0.2">
      <c r="A258" s="7">
        <f t="shared" si="14"/>
        <v>45134</v>
      </c>
      <c r="B258">
        <f t="shared" ref="B258:B321" si="16">IFERROR(VLOOKUP(A258,$C$2:$D$1000,2,FALSE),0)</f>
        <v>0</v>
      </c>
      <c r="F258" s="10">
        <f t="shared" si="15"/>
        <v>45134</v>
      </c>
      <c r="G258">
        <f t="shared" si="13"/>
        <v>0</v>
      </c>
    </row>
    <row r="259" spans="1:7" x14ac:dyDescent="0.2">
      <c r="A259" s="7">
        <f t="shared" si="14"/>
        <v>45135</v>
      </c>
      <c r="B259">
        <f t="shared" si="16"/>
        <v>0</v>
      </c>
      <c r="F259" s="10">
        <f t="shared" si="15"/>
        <v>45135</v>
      </c>
      <c r="G259">
        <f t="shared" ref="G259:G322" si="17">IFERROR(VLOOKUP(F259,$H$2:$I$1000,2,FALSE),0)</f>
        <v>0</v>
      </c>
    </row>
    <row r="260" spans="1:7" x14ac:dyDescent="0.2">
      <c r="A260" s="7">
        <f t="shared" ref="A260:A323" si="18">A259+1</f>
        <v>45136</v>
      </c>
      <c r="B260">
        <f t="shared" si="16"/>
        <v>0</v>
      </c>
      <c r="F260" s="10">
        <f t="shared" ref="F260:F323" si="19">F259+1</f>
        <v>45136</v>
      </c>
      <c r="G260">
        <f t="shared" si="17"/>
        <v>0</v>
      </c>
    </row>
    <row r="261" spans="1:7" x14ac:dyDescent="0.2">
      <c r="A261" s="7">
        <f t="shared" si="18"/>
        <v>45137</v>
      </c>
      <c r="B261">
        <f t="shared" si="16"/>
        <v>0</v>
      </c>
      <c r="F261" s="10">
        <f t="shared" si="19"/>
        <v>45137</v>
      </c>
      <c r="G261">
        <f t="shared" si="17"/>
        <v>0</v>
      </c>
    </row>
    <row r="262" spans="1:7" x14ac:dyDescent="0.2">
      <c r="A262" s="7">
        <f t="shared" si="18"/>
        <v>45138</v>
      </c>
      <c r="B262">
        <f t="shared" si="16"/>
        <v>1</v>
      </c>
      <c r="F262" s="10">
        <f t="shared" si="19"/>
        <v>45138</v>
      </c>
      <c r="G262">
        <f t="shared" si="17"/>
        <v>700</v>
      </c>
    </row>
    <row r="263" spans="1:7" x14ac:dyDescent="0.2">
      <c r="A263" s="7">
        <f t="shared" si="18"/>
        <v>45139</v>
      </c>
      <c r="B263">
        <f t="shared" si="16"/>
        <v>0</v>
      </c>
      <c r="F263" s="10">
        <f t="shared" si="19"/>
        <v>45139</v>
      </c>
      <c r="G263">
        <f t="shared" si="17"/>
        <v>0</v>
      </c>
    </row>
    <row r="264" spans="1:7" x14ac:dyDescent="0.2">
      <c r="A264" s="7">
        <f t="shared" si="18"/>
        <v>45140</v>
      </c>
      <c r="B264">
        <f t="shared" si="16"/>
        <v>0</v>
      </c>
      <c r="F264" s="10">
        <f t="shared" si="19"/>
        <v>45140</v>
      </c>
      <c r="G264">
        <f t="shared" si="17"/>
        <v>0</v>
      </c>
    </row>
    <row r="265" spans="1:7" x14ac:dyDescent="0.2">
      <c r="A265" s="7">
        <f t="shared" si="18"/>
        <v>45141</v>
      </c>
      <c r="B265">
        <f t="shared" si="16"/>
        <v>0</v>
      </c>
      <c r="F265" s="10">
        <f t="shared" si="19"/>
        <v>45141</v>
      </c>
      <c r="G265">
        <f t="shared" si="17"/>
        <v>0</v>
      </c>
    </row>
    <row r="266" spans="1:7" x14ac:dyDescent="0.2">
      <c r="A266" s="7">
        <f t="shared" si="18"/>
        <v>45142</v>
      </c>
      <c r="B266">
        <f t="shared" si="16"/>
        <v>1</v>
      </c>
      <c r="F266" s="10">
        <f t="shared" si="19"/>
        <v>45142</v>
      </c>
      <c r="G266">
        <f t="shared" si="17"/>
        <v>300</v>
      </c>
    </row>
    <row r="267" spans="1:7" x14ac:dyDescent="0.2">
      <c r="A267" s="7">
        <f t="shared" si="18"/>
        <v>45143</v>
      </c>
      <c r="B267">
        <f t="shared" si="16"/>
        <v>0</v>
      </c>
      <c r="F267" s="10">
        <f t="shared" si="19"/>
        <v>45143</v>
      </c>
      <c r="G267">
        <f t="shared" si="17"/>
        <v>0</v>
      </c>
    </row>
    <row r="268" spans="1:7" x14ac:dyDescent="0.2">
      <c r="A268" s="7">
        <f t="shared" si="18"/>
        <v>45144</v>
      </c>
      <c r="B268">
        <f t="shared" si="16"/>
        <v>0</v>
      </c>
      <c r="F268" s="10">
        <f t="shared" si="19"/>
        <v>45144</v>
      </c>
      <c r="G268">
        <f t="shared" si="17"/>
        <v>0</v>
      </c>
    </row>
    <row r="269" spans="1:7" x14ac:dyDescent="0.2">
      <c r="A269" s="7">
        <f t="shared" si="18"/>
        <v>45145</v>
      </c>
      <c r="B269">
        <f t="shared" si="16"/>
        <v>0</v>
      </c>
      <c r="F269" s="10">
        <f t="shared" si="19"/>
        <v>45145</v>
      </c>
      <c r="G269">
        <f t="shared" si="17"/>
        <v>0</v>
      </c>
    </row>
    <row r="270" spans="1:7" x14ac:dyDescent="0.2">
      <c r="A270" s="7">
        <f t="shared" si="18"/>
        <v>45146</v>
      </c>
      <c r="B270">
        <f t="shared" si="16"/>
        <v>0</v>
      </c>
      <c r="F270" s="10">
        <f t="shared" si="19"/>
        <v>45146</v>
      </c>
      <c r="G270">
        <f t="shared" si="17"/>
        <v>0</v>
      </c>
    </row>
    <row r="271" spans="1:7" x14ac:dyDescent="0.2">
      <c r="A271" s="7">
        <f t="shared" si="18"/>
        <v>45147</v>
      </c>
      <c r="B271">
        <f t="shared" si="16"/>
        <v>0</v>
      </c>
      <c r="F271" s="10">
        <f t="shared" si="19"/>
        <v>45147</v>
      </c>
      <c r="G271">
        <f t="shared" si="17"/>
        <v>0</v>
      </c>
    </row>
    <row r="272" spans="1:7" x14ac:dyDescent="0.2">
      <c r="A272" s="7">
        <f t="shared" si="18"/>
        <v>45148</v>
      </c>
      <c r="B272">
        <f t="shared" si="16"/>
        <v>0</v>
      </c>
      <c r="F272" s="10">
        <f t="shared" si="19"/>
        <v>45148</v>
      </c>
      <c r="G272">
        <f t="shared" si="17"/>
        <v>0</v>
      </c>
    </row>
    <row r="273" spans="1:7" x14ac:dyDescent="0.2">
      <c r="A273" s="7">
        <f t="shared" si="18"/>
        <v>45149</v>
      </c>
      <c r="B273">
        <f t="shared" si="16"/>
        <v>0</v>
      </c>
      <c r="F273" s="10">
        <f t="shared" si="19"/>
        <v>45149</v>
      </c>
      <c r="G273">
        <f t="shared" si="17"/>
        <v>0</v>
      </c>
    </row>
    <row r="274" spans="1:7" x14ac:dyDescent="0.2">
      <c r="A274" s="7">
        <f t="shared" si="18"/>
        <v>45150</v>
      </c>
      <c r="B274">
        <f t="shared" si="16"/>
        <v>0</v>
      </c>
      <c r="F274" s="10">
        <f t="shared" si="19"/>
        <v>45150</v>
      </c>
      <c r="G274">
        <f t="shared" si="17"/>
        <v>0</v>
      </c>
    </row>
    <row r="275" spans="1:7" x14ac:dyDescent="0.2">
      <c r="A275" s="7">
        <f t="shared" si="18"/>
        <v>45151</v>
      </c>
      <c r="B275">
        <f t="shared" si="16"/>
        <v>0</v>
      </c>
      <c r="F275" s="10">
        <f t="shared" si="19"/>
        <v>45151</v>
      </c>
      <c r="G275">
        <f t="shared" si="17"/>
        <v>0</v>
      </c>
    </row>
    <row r="276" spans="1:7" x14ac:dyDescent="0.2">
      <c r="A276" s="7">
        <f t="shared" si="18"/>
        <v>45152</v>
      </c>
      <c r="B276">
        <f t="shared" si="16"/>
        <v>0</v>
      </c>
      <c r="F276" s="10">
        <f t="shared" si="19"/>
        <v>45152</v>
      </c>
      <c r="G276">
        <f t="shared" si="17"/>
        <v>0</v>
      </c>
    </row>
    <row r="277" spans="1:7" x14ac:dyDescent="0.2">
      <c r="A277" s="7">
        <f t="shared" si="18"/>
        <v>45153</v>
      </c>
      <c r="B277">
        <f t="shared" si="16"/>
        <v>0</v>
      </c>
      <c r="F277" s="10">
        <f t="shared" si="19"/>
        <v>45153</v>
      </c>
      <c r="G277">
        <f t="shared" si="17"/>
        <v>0</v>
      </c>
    </row>
    <row r="278" spans="1:7" x14ac:dyDescent="0.2">
      <c r="A278" s="7">
        <f t="shared" si="18"/>
        <v>45154</v>
      </c>
      <c r="B278">
        <f t="shared" si="16"/>
        <v>0</v>
      </c>
      <c r="F278" s="10">
        <f t="shared" si="19"/>
        <v>45154</v>
      </c>
      <c r="G278">
        <f t="shared" si="17"/>
        <v>0</v>
      </c>
    </row>
    <row r="279" spans="1:7" x14ac:dyDescent="0.2">
      <c r="A279" s="7">
        <f t="shared" si="18"/>
        <v>45155</v>
      </c>
      <c r="B279">
        <f t="shared" si="16"/>
        <v>2</v>
      </c>
      <c r="F279" s="10">
        <f t="shared" si="19"/>
        <v>45155</v>
      </c>
      <c r="G279">
        <f t="shared" si="17"/>
        <v>1150</v>
      </c>
    </row>
    <row r="280" spans="1:7" x14ac:dyDescent="0.2">
      <c r="A280" s="7">
        <f t="shared" si="18"/>
        <v>45156</v>
      </c>
      <c r="B280">
        <f t="shared" si="16"/>
        <v>0</v>
      </c>
      <c r="F280" s="10">
        <f t="shared" si="19"/>
        <v>45156</v>
      </c>
      <c r="G280">
        <f t="shared" si="17"/>
        <v>0</v>
      </c>
    </row>
    <row r="281" spans="1:7" x14ac:dyDescent="0.2">
      <c r="A281" s="7">
        <f t="shared" si="18"/>
        <v>45157</v>
      </c>
      <c r="B281">
        <f t="shared" si="16"/>
        <v>0</v>
      </c>
      <c r="F281" s="10">
        <f t="shared" si="19"/>
        <v>45157</v>
      </c>
      <c r="G281">
        <f t="shared" si="17"/>
        <v>0</v>
      </c>
    </row>
    <row r="282" spans="1:7" x14ac:dyDescent="0.2">
      <c r="A282" s="7">
        <f t="shared" si="18"/>
        <v>45158</v>
      </c>
      <c r="B282">
        <f t="shared" si="16"/>
        <v>0</v>
      </c>
      <c r="F282" s="10">
        <f t="shared" si="19"/>
        <v>45158</v>
      </c>
      <c r="G282">
        <f t="shared" si="17"/>
        <v>0</v>
      </c>
    </row>
    <row r="283" spans="1:7" x14ac:dyDescent="0.2">
      <c r="A283" s="7">
        <f t="shared" si="18"/>
        <v>45159</v>
      </c>
      <c r="B283">
        <f t="shared" si="16"/>
        <v>0</v>
      </c>
      <c r="F283" s="10">
        <f t="shared" si="19"/>
        <v>45159</v>
      </c>
      <c r="G283">
        <f t="shared" si="17"/>
        <v>0</v>
      </c>
    </row>
    <row r="284" spans="1:7" x14ac:dyDescent="0.2">
      <c r="A284" s="7">
        <f t="shared" si="18"/>
        <v>45160</v>
      </c>
      <c r="B284">
        <f t="shared" si="16"/>
        <v>0</v>
      </c>
      <c r="F284" s="10">
        <f t="shared" si="19"/>
        <v>45160</v>
      </c>
      <c r="G284">
        <f t="shared" si="17"/>
        <v>0</v>
      </c>
    </row>
    <row r="285" spans="1:7" x14ac:dyDescent="0.2">
      <c r="A285" s="7">
        <f t="shared" si="18"/>
        <v>45161</v>
      </c>
      <c r="B285">
        <f t="shared" si="16"/>
        <v>0</v>
      </c>
      <c r="F285" s="10">
        <f t="shared" si="19"/>
        <v>45161</v>
      </c>
      <c r="G285">
        <f t="shared" si="17"/>
        <v>0</v>
      </c>
    </row>
    <row r="286" spans="1:7" x14ac:dyDescent="0.2">
      <c r="A286" s="7">
        <f t="shared" si="18"/>
        <v>45162</v>
      </c>
      <c r="B286">
        <f t="shared" si="16"/>
        <v>0</v>
      </c>
      <c r="F286" s="10">
        <f t="shared" si="19"/>
        <v>45162</v>
      </c>
      <c r="G286">
        <f t="shared" si="17"/>
        <v>0</v>
      </c>
    </row>
    <row r="287" spans="1:7" x14ac:dyDescent="0.2">
      <c r="A287" s="7">
        <f t="shared" si="18"/>
        <v>45163</v>
      </c>
      <c r="B287">
        <f t="shared" si="16"/>
        <v>0</v>
      </c>
      <c r="F287" s="10">
        <f t="shared" si="19"/>
        <v>45163</v>
      </c>
      <c r="G287">
        <f t="shared" si="17"/>
        <v>0</v>
      </c>
    </row>
    <row r="288" spans="1:7" x14ac:dyDescent="0.2">
      <c r="A288" s="7">
        <f t="shared" si="18"/>
        <v>45164</v>
      </c>
      <c r="B288">
        <f t="shared" si="16"/>
        <v>0</v>
      </c>
      <c r="F288" s="10">
        <f t="shared" si="19"/>
        <v>45164</v>
      </c>
      <c r="G288">
        <f t="shared" si="17"/>
        <v>0</v>
      </c>
    </row>
    <row r="289" spans="1:7" x14ac:dyDescent="0.2">
      <c r="A289" s="7">
        <f t="shared" si="18"/>
        <v>45165</v>
      </c>
      <c r="B289">
        <f t="shared" si="16"/>
        <v>0</v>
      </c>
      <c r="F289" s="10">
        <f t="shared" si="19"/>
        <v>45165</v>
      </c>
      <c r="G289">
        <f t="shared" si="17"/>
        <v>0</v>
      </c>
    </row>
    <row r="290" spans="1:7" x14ac:dyDescent="0.2">
      <c r="A290" s="7">
        <f t="shared" si="18"/>
        <v>45166</v>
      </c>
      <c r="B290">
        <f t="shared" si="16"/>
        <v>0</v>
      </c>
      <c r="F290" s="10">
        <f t="shared" si="19"/>
        <v>45166</v>
      </c>
      <c r="G290">
        <f t="shared" si="17"/>
        <v>0</v>
      </c>
    </row>
    <row r="291" spans="1:7" x14ac:dyDescent="0.2">
      <c r="A291" s="7">
        <f t="shared" si="18"/>
        <v>45167</v>
      </c>
      <c r="B291">
        <f t="shared" si="16"/>
        <v>0</v>
      </c>
      <c r="F291" s="10">
        <f t="shared" si="19"/>
        <v>45167</v>
      </c>
      <c r="G291">
        <f t="shared" si="17"/>
        <v>0</v>
      </c>
    </row>
    <row r="292" spans="1:7" x14ac:dyDescent="0.2">
      <c r="A292" s="7">
        <f t="shared" si="18"/>
        <v>45168</v>
      </c>
      <c r="B292">
        <f t="shared" si="16"/>
        <v>0</v>
      </c>
      <c r="F292" s="10">
        <f t="shared" si="19"/>
        <v>45168</v>
      </c>
      <c r="G292">
        <f t="shared" si="17"/>
        <v>0</v>
      </c>
    </row>
    <row r="293" spans="1:7" x14ac:dyDescent="0.2">
      <c r="A293" s="7">
        <f t="shared" si="18"/>
        <v>45169</v>
      </c>
      <c r="B293">
        <f t="shared" si="16"/>
        <v>0</v>
      </c>
      <c r="F293" s="10">
        <f t="shared" si="19"/>
        <v>45169</v>
      </c>
      <c r="G293">
        <f t="shared" si="17"/>
        <v>0</v>
      </c>
    </row>
    <row r="294" spans="1:7" x14ac:dyDescent="0.2">
      <c r="A294" s="7">
        <f t="shared" si="18"/>
        <v>45170</v>
      </c>
      <c r="B294">
        <f t="shared" si="16"/>
        <v>0</v>
      </c>
      <c r="F294" s="10">
        <f t="shared" si="19"/>
        <v>45170</v>
      </c>
      <c r="G294">
        <f t="shared" si="17"/>
        <v>0</v>
      </c>
    </row>
    <row r="295" spans="1:7" x14ac:dyDescent="0.2">
      <c r="A295" s="7">
        <f t="shared" si="18"/>
        <v>45171</v>
      </c>
      <c r="B295">
        <f t="shared" si="16"/>
        <v>0</v>
      </c>
      <c r="F295" s="10">
        <f t="shared" si="19"/>
        <v>45171</v>
      </c>
      <c r="G295">
        <f t="shared" si="17"/>
        <v>0</v>
      </c>
    </row>
    <row r="296" spans="1:7" x14ac:dyDescent="0.2">
      <c r="A296" s="7">
        <f t="shared" si="18"/>
        <v>45172</v>
      </c>
      <c r="B296">
        <f t="shared" si="16"/>
        <v>0</v>
      </c>
      <c r="F296" s="10">
        <f t="shared" si="19"/>
        <v>45172</v>
      </c>
      <c r="G296">
        <f t="shared" si="17"/>
        <v>0</v>
      </c>
    </row>
    <row r="297" spans="1:7" x14ac:dyDescent="0.2">
      <c r="A297" s="7">
        <f t="shared" si="18"/>
        <v>45173</v>
      </c>
      <c r="B297">
        <f t="shared" si="16"/>
        <v>0</v>
      </c>
      <c r="F297" s="10">
        <f t="shared" si="19"/>
        <v>45173</v>
      </c>
      <c r="G297">
        <f t="shared" si="17"/>
        <v>0</v>
      </c>
    </row>
    <row r="298" spans="1:7" x14ac:dyDescent="0.2">
      <c r="A298" s="7">
        <f t="shared" si="18"/>
        <v>45174</v>
      </c>
      <c r="B298">
        <f t="shared" si="16"/>
        <v>0</v>
      </c>
      <c r="F298" s="10">
        <f t="shared" si="19"/>
        <v>45174</v>
      </c>
      <c r="G298">
        <f t="shared" si="17"/>
        <v>0</v>
      </c>
    </row>
    <row r="299" spans="1:7" x14ac:dyDescent="0.2">
      <c r="A299" s="7">
        <f t="shared" si="18"/>
        <v>45175</v>
      </c>
      <c r="B299">
        <f t="shared" si="16"/>
        <v>0</v>
      </c>
      <c r="F299" s="10">
        <f t="shared" si="19"/>
        <v>45175</v>
      </c>
      <c r="G299">
        <f t="shared" si="17"/>
        <v>0</v>
      </c>
    </row>
    <row r="300" spans="1:7" x14ac:dyDescent="0.2">
      <c r="A300" s="7">
        <f t="shared" si="18"/>
        <v>45176</v>
      </c>
      <c r="B300">
        <f t="shared" si="16"/>
        <v>0</v>
      </c>
      <c r="F300" s="10">
        <f t="shared" si="19"/>
        <v>45176</v>
      </c>
      <c r="G300">
        <f t="shared" si="17"/>
        <v>0</v>
      </c>
    </row>
    <row r="301" spans="1:7" x14ac:dyDescent="0.2">
      <c r="A301" s="7">
        <f t="shared" si="18"/>
        <v>45177</v>
      </c>
      <c r="B301">
        <f t="shared" si="16"/>
        <v>0</v>
      </c>
      <c r="F301" s="10">
        <f t="shared" si="19"/>
        <v>45177</v>
      </c>
      <c r="G301">
        <f t="shared" si="17"/>
        <v>0</v>
      </c>
    </row>
    <row r="302" spans="1:7" x14ac:dyDescent="0.2">
      <c r="A302" s="7">
        <f t="shared" si="18"/>
        <v>45178</v>
      </c>
      <c r="B302">
        <f t="shared" si="16"/>
        <v>1</v>
      </c>
      <c r="F302" s="10">
        <f t="shared" si="19"/>
        <v>45178</v>
      </c>
      <c r="G302">
        <f t="shared" si="17"/>
        <v>300</v>
      </c>
    </row>
    <row r="303" spans="1:7" x14ac:dyDescent="0.2">
      <c r="A303" s="7">
        <f t="shared" si="18"/>
        <v>45179</v>
      </c>
      <c r="B303">
        <f t="shared" si="16"/>
        <v>0</v>
      </c>
      <c r="F303" s="10">
        <f t="shared" si="19"/>
        <v>45179</v>
      </c>
      <c r="G303">
        <f t="shared" si="17"/>
        <v>0</v>
      </c>
    </row>
    <row r="304" spans="1:7" x14ac:dyDescent="0.2">
      <c r="A304" s="7">
        <f t="shared" si="18"/>
        <v>45180</v>
      </c>
      <c r="B304">
        <f t="shared" si="16"/>
        <v>1</v>
      </c>
      <c r="F304" s="10">
        <f t="shared" si="19"/>
        <v>45180</v>
      </c>
      <c r="G304">
        <f t="shared" si="17"/>
        <v>450</v>
      </c>
    </row>
    <row r="305" spans="1:7" x14ac:dyDescent="0.2">
      <c r="A305" s="7">
        <f t="shared" si="18"/>
        <v>45181</v>
      </c>
      <c r="B305">
        <f t="shared" si="16"/>
        <v>0</v>
      </c>
      <c r="F305" s="10">
        <f t="shared" si="19"/>
        <v>45181</v>
      </c>
      <c r="G305">
        <f t="shared" si="17"/>
        <v>0</v>
      </c>
    </row>
    <row r="306" spans="1:7" x14ac:dyDescent="0.2">
      <c r="A306" s="7">
        <f t="shared" si="18"/>
        <v>45182</v>
      </c>
      <c r="B306">
        <f t="shared" si="16"/>
        <v>0</v>
      </c>
      <c r="F306" s="10">
        <f t="shared" si="19"/>
        <v>45182</v>
      </c>
      <c r="G306">
        <f t="shared" si="17"/>
        <v>0</v>
      </c>
    </row>
    <row r="307" spans="1:7" x14ac:dyDescent="0.2">
      <c r="A307" s="7">
        <f t="shared" si="18"/>
        <v>45183</v>
      </c>
      <c r="B307">
        <f t="shared" si="16"/>
        <v>0</v>
      </c>
      <c r="F307" s="10">
        <f t="shared" si="19"/>
        <v>45183</v>
      </c>
      <c r="G307">
        <f t="shared" si="17"/>
        <v>0</v>
      </c>
    </row>
    <row r="308" spans="1:7" x14ac:dyDescent="0.2">
      <c r="A308" s="7">
        <f t="shared" si="18"/>
        <v>45184</v>
      </c>
      <c r="B308">
        <f t="shared" si="16"/>
        <v>0</v>
      </c>
      <c r="F308" s="10">
        <f t="shared" si="19"/>
        <v>45184</v>
      </c>
      <c r="G308">
        <f t="shared" si="17"/>
        <v>0</v>
      </c>
    </row>
    <row r="309" spans="1:7" x14ac:dyDescent="0.2">
      <c r="A309" s="7">
        <f t="shared" si="18"/>
        <v>45185</v>
      </c>
      <c r="B309">
        <f t="shared" si="16"/>
        <v>0</v>
      </c>
      <c r="F309" s="10">
        <f t="shared" si="19"/>
        <v>45185</v>
      </c>
      <c r="G309">
        <f t="shared" si="17"/>
        <v>0</v>
      </c>
    </row>
    <row r="310" spans="1:7" x14ac:dyDescent="0.2">
      <c r="A310" s="7">
        <f t="shared" si="18"/>
        <v>45186</v>
      </c>
      <c r="B310">
        <f t="shared" si="16"/>
        <v>0</v>
      </c>
      <c r="F310" s="10">
        <f t="shared" si="19"/>
        <v>45186</v>
      </c>
      <c r="G310">
        <f t="shared" si="17"/>
        <v>0</v>
      </c>
    </row>
    <row r="311" spans="1:7" x14ac:dyDescent="0.2">
      <c r="A311" s="7">
        <f t="shared" si="18"/>
        <v>45187</v>
      </c>
      <c r="B311">
        <f t="shared" si="16"/>
        <v>0</v>
      </c>
      <c r="F311" s="10">
        <f t="shared" si="19"/>
        <v>45187</v>
      </c>
      <c r="G311">
        <f t="shared" si="17"/>
        <v>0</v>
      </c>
    </row>
    <row r="312" spans="1:7" x14ac:dyDescent="0.2">
      <c r="A312" s="7">
        <f t="shared" si="18"/>
        <v>45188</v>
      </c>
      <c r="B312">
        <f t="shared" si="16"/>
        <v>0</v>
      </c>
      <c r="F312" s="10">
        <f t="shared" si="19"/>
        <v>45188</v>
      </c>
      <c r="G312">
        <f t="shared" si="17"/>
        <v>0</v>
      </c>
    </row>
    <row r="313" spans="1:7" x14ac:dyDescent="0.2">
      <c r="A313" s="7">
        <f t="shared" si="18"/>
        <v>45189</v>
      </c>
      <c r="B313">
        <f t="shared" si="16"/>
        <v>0</v>
      </c>
      <c r="F313" s="10">
        <f t="shared" si="19"/>
        <v>45189</v>
      </c>
      <c r="G313">
        <f t="shared" si="17"/>
        <v>0</v>
      </c>
    </row>
    <row r="314" spans="1:7" x14ac:dyDescent="0.2">
      <c r="A314" s="7">
        <f t="shared" si="18"/>
        <v>45190</v>
      </c>
      <c r="B314">
        <f t="shared" si="16"/>
        <v>0</v>
      </c>
      <c r="F314" s="10">
        <f t="shared" si="19"/>
        <v>45190</v>
      </c>
      <c r="G314">
        <f t="shared" si="17"/>
        <v>0</v>
      </c>
    </row>
    <row r="315" spans="1:7" x14ac:dyDescent="0.2">
      <c r="A315" s="7">
        <f t="shared" si="18"/>
        <v>45191</v>
      </c>
      <c r="B315">
        <f t="shared" si="16"/>
        <v>0</v>
      </c>
      <c r="F315" s="10">
        <f t="shared" si="19"/>
        <v>45191</v>
      </c>
      <c r="G315">
        <f t="shared" si="17"/>
        <v>0</v>
      </c>
    </row>
    <row r="316" spans="1:7" x14ac:dyDescent="0.2">
      <c r="A316" s="7">
        <f t="shared" si="18"/>
        <v>45192</v>
      </c>
      <c r="B316">
        <f t="shared" si="16"/>
        <v>0</v>
      </c>
      <c r="F316" s="10">
        <f t="shared" si="19"/>
        <v>45192</v>
      </c>
      <c r="G316">
        <f t="shared" si="17"/>
        <v>0</v>
      </c>
    </row>
    <row r="317" spans="1:7" x14ac:dyDescent="0.2">
      <c r="A317" s="7">
        <f t="shared" si="18"/>
        <v>45193</v>
      </c>
      <c r="B317">
        <f t="shared" si="16"/>
        <v>0</v>
      </c>
      <c r="F317" s="10">
        <f t="shared" si="19"/>
        <v>45193</v>
      </c>
      <c r="G317">
        <f t="shared" si="17"/>
        <v>0</v>
      </c>
    </row>
    <row r="318" spans="1:7" x14ac:dyDescent="0.2">
      <c r="A318" s="7">
        <f t="shared" si="18"/>
        <v>45194</v>
      </c>
      <c r="B318">
        <f t="shared" si="16"/>
        <v>0</v>
      </c>
      <c r="F318" s="10">
        <f t="shared" si="19"/>
        <v>45194</v>
      </c>
      <c r="G318">
        <f t="shared" si="17"/>
        <v>0</v>
      </c>
    </row>
    <row r="319" spans="1:7" x14ac:dyDescent="0.2">
      <c r="A319" s="7">
        <f t="shared" si="18"/>
        <v>45195</v>
      </c>
      <c r="B319">
        <f t="shared" si="16"/>
        <v>0</v>
      </c>
      <c r="F319" s="10">
        <f t="shared" si="19"/>
        <v>45195</v>
      </c>
      <c r="G319">
        <f t="shared" si="17"/>
        <v>0</v>
      </c>
    </row>
    <row r="320" spans="1:7" x14ac:dyDescent="0.2">
      <c r="A320" s="7">
        <f t="shared" si="18"/>
        <v>45196</v>
      </c>
      <c r="B320">
        <f t="shared" si="16"/>
        <v>0</v>
      </c>
      <c r="F320" s="10">
        <f t="shared" si="19"/>
        <v>45196</v>
      </c>
      <c r="G320">
        <f t="shared" si="17"/>
        <v>0</v>
      </c>
    </row>
    <row r="321" spans="1:7" x14ac:dyDescent="0.2">
      <c r="A321" s="7">
        <f t="shared" si="18"/>
        <v>45197</v>
      </c>
      <c r="B321">
        <f t="shared" si="16"/>
        <v>0</v>
      </c>
      <c r="F321" s="10">
        <f t="shared" si="19"/>
        <v>45197</v>
      </c>
      <c r="G321">
        <f t="shared" si="17"/>
        <v>0</v>
      </c>
    </row>
    <row r="322" spans="1:7" x14ac:dyDescent="0.2">
      <c r="A322" s="7">
        <f t="shared" si="18"/>
        <v>45198</v>
      </c>
      <c r="B322">
        <f t="shared" ref="B322:B385" si="20">IFERROR(VLOOKUP(A322,$C$2:$D$1000,2,FALSE),0)</f>
        <v>0</v>
      </c>
      <c r="F322" s="10">
        <f t="shared" si="19"/>
        <v>45198</v>
      </c>
      <c r="G322">
        <f t="shared" si="17"/>
        <v>0</v>
      </c>
    </row>
    <row r="323" spans="1:7" x14ac:dyDescent="0.2">
      <c r="A323" s="7">
        <f t="shared" si="18"/>
        <v>45199</v>
      </c>
      <c r="B323">
        <f t="shared" si="20"/>
        <v>1</v>
      </c>
      <c r="F323" s="10">
        <f t="shared" si="19"/>
        <v>45199</v>
      </c>
      <c r="G323">
        <f t="shared" ref="G323:G386" si="21">IFERROR(VLOOKUP(F323,$H$2:$I$1000,2,FALSE),0)</f>
        <v>700</v>
      </c>
    </row>
    <row r="324" spans="1:7" x14ac:dyDescent="0.2">
      <c r="A324" s="7">
        <f t="shared" ref="A324:A387" si="22">A323+1</f>
        <v>45200</v>
      </c>
      <c r="B324">
        <f t="shared" si="20"/>
        <v>0</v>
      </c>
      <c r="F324" s="10">
        <f t="shared" ref="F324:F387" si="23">F323+1</f>
        <v>45200</v>
      </c>
      <c r="G324">
        <f t="shared" si="21"/>
        <v>0</v>
      </c>
    </row>
    <row r="325" spans="1:7" x14ac:dyDescent="0.2">
      <c r="A325" s="7">
        <f t="shared" si="22"/>
        <v>45201</v>
      </c>
      <c r="B325">
        <f t="shared" si="20"/>
        <v>0</v>
      </c>
      <c r="F325" s="10">
        <f t="shared" si="23"/>
        <v>45201</v>
      </c>
      <c r="G325">
        <f t="shared" si="21"/>
        <v>0</v>
      </c>
    </row>
    <row r="326" spans="1:7" x14ac:dyDescent="0.2">
      <c r="A326" s="7">
        <f t="shared" si="22"/>
        <v>45202</v>
      </c>
      <c r="B326">
        <f t="shared" si="20"/>
        <v>0</v>
      </c>
      <c r="F326" s="10">
        <f t="shared" si="23"/>
        <v>45202</v>
      </c>
      <c r="G326">
        <f t="shared" si="21"/>
        <v>0</v>
      </c>
    </row>
    <row r="327" spans="1:7" x14ac:dyDescent="0.2">
      <c r="A327" s="7">
        <f t="shared" si="22"/>
        <v>45203</v>
      </c>
      <c r="B327">
        <f t="shared" si="20"/>
        <v>0</v>
      </c>
      <c r="F327" s="10">
        <f t="shared" si="23"/>
        <v>45203</v>
      </c>
      <c r="G327">
        <f t="shared" si="21"/>
        <v>0</v>
      </c>
    </row>
    <row r="328" spans="1:7" x14ac:dyDescent="0.2">
      <c r="A328" s="7">
        <f t="shared" si="22"/>
        <v>45204</v>
      </c>
      <c r="B328">
        <f t="shared" si="20"/>
        <v>0</v>
      </c>
      <c r="F328" s="10">
        <f t="shared" si="23"/>
        <v>45204</v>
      </c>
      <c r="G328">
        <f t="shared" si="21"/>
        <v>0</v>
      </c>
    </row>
    <row r="329" spans="1:7" x14ac:dyDescent="0.2">
      <c r="A329" s="7">
        <f t="shared" si="22"/>
        <v>45205</v>
      </c>
      <c r="B329">
        <f t="shared" si="20"/>
        <v>0</v>
      </c>
      <c r="F329" s="10">
        <f t="shared" si="23"/>
        <v>45205</v>
      </c>
      <c r="G329">
        <f t="shared" si="21"/>
        <v>0</v>
      </c>
    </row>
    <row r="330" spans="1:7" x14ac:dyDescent="0.2">
      <c r="A330" s="7">
        <f t="shared" si="22"/>
        <v>45206</v>
      </c>
      <c r="B330">
        <f t="shared" si="20"/>
        <v>0</v>
      </c>
      <c r="F330" s="10">
        <f t="shared" si="23"/>
        <v>45206</v>
      </c>
      <c r="G330">
        <f t="shared" si="21"/>
        <v>0</v>
      </c>
    </row>
    <row r="331" spans="1:7" x14ac:dyDescent="0.2">
      <c r="A331" s="7">
        <f t="shared" si="22"/>
        <v>45207</v>
      </c>
      <c r="B331">
        <f t="shared" si="20"/>
        <v>0</v>
      </c>
      <c r="F331" s="10">
        <f t="shared" si="23"/>
        <v>45207</v>
      </c>
      <c r="G331">
        <f t="shared" si="21"/>
        <v>0</v>
      </c>
    </row>
    <row r="332" spans="1:7" x14ac:dyDescent="0.2">
      <c r="A332" s="7">
        <f t="shared" si="22"/>
        <v>45208</v>
      </c>
      <c r="B332">
        <f t="shared" si="20"/>
        <v>0</v>
      </c>
      <c r="F332" s="10">
        <f t="shared" si="23"/>
        <v>45208</v>
      </c>
      <c r="G332">
        <f t="shared" si="21"/>
        <v>0</v>
      </c>
    </row>
    <row r="333" spans="1:7" x14ac:dyDescent="0.2">
      <c r="A333" s="7">
        <f t="shared" si="22"/>
        <v>45209</v>
      </c>
      <c r="B333">
        <f t="shared" si="20"/>
        <v>0</v>
      </c>
      <c r="F333" s="10">
        <f t="shared" si="23"/>
        <v>45209</v>
      </c>
      <c r="G333">
        <f t="shared" si="21"/>
        <v>0</v>
      </c>
    </row>
    <row r="334" spans="1:7" x14ac:dyDescent="0.2">
      <c r="A334" s="7">
        <f t="shared" si="22"/>
        <v>45210</v>
      </c>
      <c r="B334">
        <f t="shared" si="20"/>
        <v>0</v>
      </c>
      <c r="F334" s="10">
        <f t="shared" si="23"/>
        <v>45210</v>
      </c>
      <c r="G334">
        <f t="shared" si="21"/>
        <v>0</v>
      </c>
    </row>
    <row r="335" spans="1:7" x14ac:dyDescent="0.2">
      <c r="A335" s="7">
        <f t="shared" si="22"/>
        <v>45211</v>
      </c>
      <c r="B335">
        <f t="shared" si="20"/>
        <v>0</v>
      </c>
      <c r="F335" s="10">
        <f t="shared" si="23"/>
        <v>45211</v>
      </c>
      <c r="G335">
        <f t="shared" si="21"/>
        <v>0</v>
      </c>
    </row>
    <row r="336" spans="1:7" x14ac:dyDescent="0.2">
      <c r="A336" s="7">
        <f t="shared" si="22"/>
        <v>45212</v>
      </c>
      <c r="B336">
        <f t="shared" si="20"/>
        <v>0</v>
      </c>
      <c r="F336" s="10">
        <f t="shared" si="23"/>
        <v>45212</v>
      </c>
      <c r="G336">
        <f t="shared" si="21"/>
        <v>0</v>
      </c>
    </row>
    <row r="337" spans="1:7" x14ac:dyDescent="0.2">
      <c r="A337" s="7">
        <f t="shared" si="22"/>
        <v>45213</v>
      </c>
      <c r="B337">
        <f t="shared" si="20"/>
        <v>1</v>
      </c>
      <c r="F337" s="10">
        <f t="shared" si="23"/>
        <v>45213</v>
      </c>
      <c r="G337">
        <f t="shared" si="21"/>
        <v>300</v>
      </c>
    </row>
    <row r="338" spans="1:7" x14ac:dyDescent="0.2">
      <c r="A338" s="7">
        <f t="shared" si="22"/>
        <v>45214</v>
      </c>
      <c r="B338">
        <f t="shared" si="20"/>
        <v>0</v>
      </c>
      <c r="F338" s="10">
        <f t="shared" si="23"/>
        <v>45214</v>
      </c>
      <c r="G338">
        <f t="shared" si="21"/>
        <v>0</v>
      </c>
    </row>
    <row r="339" spans="1:7" x14ac:dyDescent="0.2">
      <c r="A339" s="7">
        <f t="shared" si="22"/>
        <v>45215</v>
      </c>
      <c r="B339">
        <f t="shared" si="20"/>
        <v>1</v>
      </c>
      <c r="F339" s="10">
        <f t="shared" si="23"/>
        <v>45215</v>
      </c>
      <c r="G339">
        <f t="shared" si="21"/>
        <v>450</v>
      </c>
    </row>
    <row r="340" spans="1:7" x14ac:dyDescent="0.2">
      <c r="A340" s="7">
        <f t="shared" si="22"/>
        <v>45216</v>
      </c>
      <c r="B340">
        <f t="shared" si="20"/>
        <v>0</v>
      </c>
      <c r="F340" s="10">
        <f t="shared" si="23"/>
        <v>45216</v>
      </c>
      <c r="G340">
        <f t="shared" si="21"/>
        <v>0</v>
      </c>
    </row>
    <row r="341" spans="1:7" x14ac:dyDescent="0.2">
      <c r="A341" s="7">
        <f t="shared" si="22"/>
        <v>45217</v>
      </c>
      <c r="B341">
        <f t="shared" si="20"/>
        <v>0</v>
      </c>
      <c r="F341" s="10">
        <f t="shared" si="23"/>
        <v>45217</v>
      </c>
      <c r="G341">
        <f t="shared" si="21"/>
        <v>0</v>
      </c>
    </row>
    <row r="342" spans="1:7" x14ac:dyDescent="0.2">
      <c r="A342" s="7">
        <f t="shared" si="22"/>
        <v>45218</v>
      </c>
      <c r="B342">
        <f t="shared" si="20"/>
        <v>0</v>
      </c>
      <c r="F342" s="10">
        <f t="shared" si="23"/>
        <v>45218</v>
      </c>
      <c r="G342">
        <f t="shared" si="21"/>
        <v>0</v>
      </c>
    </row>
    <row r="343" spans="1:7" x14ac:dyDescent="0.2">
      <c r="A343" s="7">
        <f t="shared" si="22"/>
        <v>45219</v>
      </c>
      <c r="B343">
        <f t="shared" si="20"/>
        <v>0</v>
      </c>
      <c r="F343" s="10">
        <f t="shared" si="23"/>
        <v>45219</v>
      </c>
      <c r="G343">
        <f t="shared" si="21"/>
        <v>0</v>
      </c>
    </row>
    <row r="344" spans="1:7" x14ac:dyDescent="0.2">
      <c r="A344" s="7">
        <f t="shared" si="22"/>
        <v>45220</v>
      </c>
      <c r="B344">
        <f t="shared" si="20"/>
        <v>0</v>
      </c>
      <c r="F344" s="10">
        <f t="shared" si="23"/>
        <v>45220</v>
      </c>
      <c r="G344">
        <f t="shared" si="21"/>
        <v>0</v>
      </c>
    </row>
    <row r="345" spans="1:7" x14ac:dyDescent="0.2">
      <c r="A345" s="7">
        <f t="shared" si="22"/>
        <v>45221</v>
      </c>
      <c r="B345">
        <f t="shared" si="20"/>
        <v>0</v>
      </c>
      <c r="F345" s="10">
        <f t="shared" si="23"/>
        <v>45221</v>
      </c>
      <c r="G345">
        <f t="shared" si="21"/>
        <v>0</v>
      </c>
    </row>
    <row r="346" spans="1:7" x14ac:dyDescent="0.2">
      <c r="A346" s="7">
        <f t="shared" si="22"/>
        <v>45222</v>
      </c>
      <c r="B346">
        <f t="shared" si="20"/>
        <v>0</v>
      </c>
      <c r="F346" s="10">
        <f t="shared" si="23"/>
        <v>45222</v>
      </c>
      <c r="G346">
        <f t="shared" si="21"/>
        <v>0</v>
      </c>
    </row>
    <row r="347" spans="1:7" x14ac:dyDescent="0.2">
      <c r="A347" s="7">
        <f t="shared" si="22"/>
        <v>45223</v>
      </c>
      <c r="B347">
        <f t="shared" si="20"/>
        <v>0</v>
      </c>
      <c r="F347" s="10">
        <f t="shared" si="23"/>
        <v>45223</v>
      </c>
      <c r="G347">
        <f t="shared" si="21"/>
        <v>0</v>
      </c>
    </row>
    <row r="348" spans="1:7" x14ac:dyDescent="0.2">
      <c r="A348" s="7">
        <f t="shared" si="22"/>
        <v>45224</v>
      </c>
      <c r="B348">
        <f t="shared" si="20"/>
        <v>1</v>
      </c>
      <c r="F348" s="10">
        <f t="shared" si="23"/>
        <v>45224</v>
      </c>
      <c r="G348">
        <f t="shared" si="21"/>
        <v>700</v>
      </c>
    </row>
    <row r="349" spans="1:7" x14ac:dyDescent="0.2">
      <c r="A349" s="7">
        <f t="shared" si="22"/>
        <v>45225</v>
      </c>
      <c r="B349">
        <f t="shared" si="20"/>
        <v>0</v>
      </c>
      <c r="F349" s="10">
        <f t="shared" si="23"/>
        <v>45225</v>
      </c>
      <c r="G349">
        <f t="shared" si="21"/>
        <v>0</v>
      </c>
    </row>
    <row r="350" spans="1:7" x14ac:dyDescent="0.2">
      <c r="A350" s="7">
        <f t="shared" si="22"/>
        <v>45226</v>
      </c>
      <c r="B350">
        <f t="shared" si="20"/>
        <v>0</v>
      </c>
      <c r="F350" s="10">
        <f t="shared" si="23"/>
        <v>45226</v>
      </c>
      <c r="G350">
        <f t="shared" si="21"/>
        <v>0</v>
      </c>
    </row>
    <row r="351" spans="1:7" x14ac:dyDescent="0.2">
      <c r="A351" s="7">
        <f t="shared" si="22"/>
        <v>45227</v>
      </c>
      <c r="B351">
        <f t="shared" si="20"/>
        <v>0</v>
      </c>
      <c r="F351" s="10">
        <f t="shared" si="23"/>
        <v>45227</v>
      </c>
      <c r="G351">
        <f t="shared" si="21"/>
        <v>0</v>
      </c>
    </row>
    <row r="352" spans="1:7" x14ac:dyDescent="0.2">
      <c r="A352" s="7">
        <f t="shared" si="22"/>
        <v>45228</v>
      </c>
      <c r="B352">
        <f t="shared" si="20"/>
        <v>0</v>
      </c>
      <c r="F352" s="10">
        <f t="shared" si="23"/>
        <v>45228</v>
      </c>
      <c r="G352">
        <f t="shared" si="21"/>
        <v>0</v>
      </c>
    </row>
    <row r="353" spans="1:7" x14ac:dyDescent="0.2">
      <c r="A353" s="7">
        <f t="shared" si="22"/>
        <v>45229</v>
      </c>
      <c r="B353">
        <f t="shared" si="20"/>
        <v>0</v>
      </c>
      <c r="F353" s="10">
        <f t="shared" si="23"/>
        <v>45229</v>
      </c>
      <c r="G353">
        <f t="shared" si="21"/>
        <v>0</v>
      </c>
    </row>
    <row r="354" spans="1:7" x14ac:dyDescent="0.2">
      <c r="A354" s="7">
        <f t="shared" si="22"/>
        <v>45230</v>
      </c>
      <c r="B354">
        <f t="shared" si="20"/>
        <v>1</v>
      </c>
      <c r="F354" s="10">
        <f t="shared" si="23"/>
        <v>45230</v>
      </c>
      <c r="G354">
        <f t="shared" si="21"/>
        <v>300</v>
      </c>
    </row>
    <row r="355" spans="1:7" x14ac:dyDescent="0.2">
      <c r="A355" s="7">
        <f t="shared" si="22"/>
        <v>45231</v>
      </c>
      <c r="B355">
        <f t="shared" si="20"/>
        <v>0</v>
      </c>
      <c r="F355" s="10">
        <f t="shared" si="23"/>
        <v>45231</v>
      </c>
      <c r="G355">
        <f t="shared" si="21"/>
        <v>0</v>
      </c>
    </row>
    <row r="356" spans="1:7" x14ac:dyDescent="0.2">
      <c r="A356" s="7">
        <f t="shared" si="22"/>
        <v>45232</v>
      </c>
      <c r="B356">
        <f t="shared" si="20"/>
        <v>0</v>
      </c>
      <c r="F356" s="10">
        <f t="shared" si="23"/>
        <v>45232</v>
      </c>
      <c r="G356">
        <f t="shared" si="21"/>
        <v>0</v>
      </c>
    </row>
    <row r="357" spans="1:7" x14ac:dyDescent="0.2">
      <c r="A357" s="7">
        <f t="shared" si="22"/>
        <v>45233</v>
      </c>
      <c r="B357">
        <f t="shared" si="20"/>
        <v>1</v>
      </c>
      <c r="F357" s="10">
        <f t="shared" si="23"/>
        <v>45233</v>
      </c>
      <c r="G357">
        <f t="shared" si="21"/>
        <v>450</v>
      </c>
    </row>
    <row r="358" spans="1:7" x14ac:dyDescent="0.2">
      <c r="A358" s="7">
        <f t="shared" si="22"/>
        <v>45234</v>
      </c>
      <c r="B358">
        <f t="shared" si="20"/>
        <v>0</v>
      </c>
      <c r="F358" s="10">
        <f t="shared" si="23"/>
        <v>45234</v>
      </c>
      <c r="G358">
        <f t="shared" si="21"/>
        <v>0</v>
      </c>
    </row>
    <row r="359" spans="1:7" x14ac:dyDescent="0.2">
      <c r="A359" s="7">
        <f t="shared" si="22"/>
        <v>45235</v>
      </c>
      <c r="B359">
        <f t="shared" si="20"/>
        <v>0</v>
      </c>
      <c r="F359" s="10">
        <f t="shared" si="23"/>
        <v>45235</v>
      </c>
      <c r="G359">
        <f t="shared" si="21"/>
        <v>0</v>
      </c>
    </row>
    <row r="360" spans="1:7" x14ac:dyDescent="0.2">
      <c r="A360" s="7">
        <f t="shared" si="22"/>
        <v>45236</v>
      </c>
      <c r="B360">
        <f t="shared" si="20"/>
        <v>0</v>
      </c>
      <c r="F360" s="10">
        <f t="shared" si="23"/>
        <v>45236</v>
      </c>
      <c r="G360">
        <f t="shared" si="21"/>
        <v>0</v>
      </c>
    </row>
    <row r="361" spans="1:7" x14ac:dyDescent="0.2">
      <c r="A361" s="7">
        <f t="shared" si="22"/>
        <v>45237</v>
      </c>
      <c r="B361">
        <f t="shared" si="20"/>
        <v>0</v>
      </c>
      <c r="F361" s="10">
        <f t="shared" si="23"/>
        <v>45237</v>
      </c>
      <c r="G361">
        <f t="shared" si="21"/>
        <v>0</v>
      </c>
    </row>
    <row r="362" spans="1:7" x14ac:dyDescent="0.2">
      <c r="A362" s="7">
        <f t="shared" si="22"/>
        <v>45238</v>
      </c>
      <c r="B362">
        <f t="shared" si="20"/>
        <v>0</v>
      </c>
      <c r="F362" s="10">
        <f t="shared" si="23"/>
        <v>45238</v>
      </c>
      <c r="G362">
        <f t="shared" si="21"/>
        <v>0</v>
      </c>
    </row>
    <row r="363" spans="1:7" x14ac:dyDescent="0.2">
      <c r="A363" s="7">
        <f t="shared" si="22"/>
        <v>45239</v>
      </c>
      <c r="B363">
        <f t="shared" si="20"/>
        <v>0</v>
      </c>
      <c r="F363" s="10">
        <f t="shared" si="23"/>
        <v>45239</v>
      </c>
      <c r="G363">
        <f t="shared" si="21"/>
        <v>0</v>
      </c>
    </row>
    <row r="364" spans="1:7" x14ac:dyDescent="0.2">
      <c r="A364" s="7">
        <f t="shared" si="22"/>
        <v>45240</v>
      </c>
      <c r="B364">
        <f t="shared" si="20"/>
        <v>0</v>
      </c>
      <c r="F364" s="10">
        <f t="shared" si="23"/>
        <v>45240</v>
      </c>
      <c r="G364">
        <f t="shared" si="21"/>
        <v>0</v>
      </c>
    </row>
    <row r="365" spans="1:7" x14ac:dyDescent="0.2">
      <c r="A365" s="7">
        <f t="shared" si="22"/>
        <v>45241</v>
      </c>
      <c r="B365">
        <f t="shared" si="20"/>
        <v>0</v>
      </c>
      <c r="F365" s="10">
        <f t="shared" si="23"/>
        <v>45241</v>
      </c>
      <c r="G365">
        <f t="shared" si="21"/>
        <v>0</v>
      </c>
    </row>
    <row r="366" spans="1:7" x14ac:dyDescent="0.2">
      <c r="A366" s="7">
        <f t="shared" si="22"/>
        <v>45242</v>
      </c>
      <c r="B366">
        <f t="shared" si="20"/>
        <v>0</v>
      </c>
      <c r="F366" s="10">
        <f t="shared" si="23"/>
        <v>45242</v>
      </c>
      <c r="G366">
        <f t="shared" si="21"/>
        <v>0</v>
      </c>
    </row>
    <row r="367" spans="1:7" x14ac:dyDescent="0.2">
      <c r="A367" s="7">
        <f t="shared" si="22"/>
        <v>45243</v>
      </c>
      <c r="B367">
        <f t="shared" si="20"/>
        <v>0</v>
      </c>
      <c r="F367" s="10">
        <f t="shared" si="23"/>
        <v>45243</v>
      </c>
      <c r="G367">
        <f t="shared" si="21"/>
        <v>0</v>
      </c>
    </row>
    <row r="368" spans="1:7" x14ac:dyDescent="0.2">
      <c r="A368" s="7">
        <f t="shared" si="22"/>
        <v>45244</v>
      </c>
      <c r="B368">
        <f t="shared" si="20"/>
        <v>0</v>
      </c>
      <c r="F368" s="10">
        <f t="shared" si="23"/>
        <v>45244</v>
      </c>
      <c r="G368">
        <f t="shared" si="21"/>
        <v>0</v>
      </c>
    </row>
    <row r="369" spans="1:7" x14ac:dyDescent="0.2">
      <c r="A369" s="7">
        <f t="shared" si="22"/>
        <v>45245</v>
      </c>
      <c r="B369">
        <f t="shared" si="20"/>
        <v>0</v>
      </c>
      <c r="F369" s="10">
        <f t="shared" si="23"/>
        <v>45245</v>
      </c>
      <c r="G369">
        <f t="shared" si="21"/>
        <v>0</v>
      </c>
    </row>
    <row r="370" spans="1:7" x14ac:dyDescent="0.2">
      <c r="A370" s="7">
        <f t="shared" si="22"/>
        <v>45246</v>
      </c>
      <c r="B370">
        <f t="shared" si="20"/>
        <v>0</v>
      </c>
      <c r="F370" s="10">
        <f t="shared" si="23"/>
        <v>45246</v>
      </c>
      <c r="G370">
        <f t="shared" si="21"/>
        <v>0</v>
      </c>
    </row>
    <row r="371" spans="1:7" x14ac:dyDescent="0.2">
      <c r="A371" s="7">
        <f t="shared" si="22"/>
        <v>45247</v>
      </c>
      <c r="B371">
        <f t="shared" si="20"/>
        <v>0</v>
      </c>
      <c r="F371" s="10">
        <f t="shared" si="23"/>
        <v>45247</v>
      </c>
      <c r="G371">
        <f t="shared" si="21"/>
        <v>0</v>
      </c>
    </row>
    <row r="372" spans="1:7" x14ac:dyDescent="0.2">
      <c r="A372" s="7">
        <f t="shared" si="22"/>
        <v>45248</v>
      </c>
      <c r="B372">
        <f t="shared" si="20"/>
        <v>0</v>
      </c>
      <c r="F372" s="10">
        <f t="shared" si="23"/>
        <v>45248</v>
      </c>
      <c r="G372">
        <f t="shared" si="21"/>
        <v>0</v>
      </c>
    </row>
    <row r="373" spans="1:7" x14ac:dyDescent="0.2">
      <c r="A373" s="7">
        <f t="shared" si="22"/>
        <v>45249</v>
      </c>
      <c r="B373">
        <f t="shared" si="20"/>
        <v>0</v>
      </c>
      <c r="F373" s="10">
        <f t="shared" si="23"/>
        <v>45249</v>
      </c>
      <c r="G373">
        <f t="shared" si="21"/>
        <v>0</v>
      </c>
    </row>
    <row r="374" spans="1:7" x14ac:dyDescent="0.2">
      <c r="A374" s="7">
        <f t="shared" si="22"/>
        <v>45250</v>
      </c>
      <c r="B374">
        <f t="shared" si="20"/>
        <v>0</v>
      </c>
      <c r="F374" s="10">
        <f t="shared" si="23"/>
        <v>45250</v>
      </c>
      <c r="G374">
        <f t="shared" si="21"/>
        <v>0</v>
      </c>
    </row>
    <row r="375" spans="1:7" x14ac:dyDescent="0.2">
      <c r="A375" s="7">
        <f t="shared" si="22"/>
        <v>45251</v>
      </c>
      <c r="B375">
        <f t="shared" si="20"/>
        <v>0</v>
      </c>
      <c r="F375" s="10">
        <f t="shared" si="23"/>
        <v>45251</v>
      </c>
      <c r="G375">
        <f t="shared" si="21"/>
        <v>0</v>
      </c>
    </row>
    <row r="376" spans="1:7" x14ac:dyDescent="0.2">
      <c r="A376" s="7">
        <f t="shared" si="22"/>
        <v>45252</v>
      </c>
      <c r="B376">
        <f t="shared" si="20"/>
        <v>0</v>
      </c>
      <c r="F376" s="10">
        <f t="shared" si="23"/>
        <v>45252</v>
      </c>
      <c r="G376">
        <f t="shared" si="21"/>
        <v>0</v>
      </c>
    </row>
    <row r="377" spans="1:7" x14ac:dyDescent="0.2">
      <c r="A377" s="7">
        <f t="shared" si="22"/>
        <v>45253</v>
      </c>
      <c r="B377">
        <f t="shared" si="20"/>
        <v>0</v>
      </c>
      <c r="F377" s="10">
        <f t="shared" si="23"/>
        <v>45253</v>
      </c>
      <c r="G377">
        <f t="shared" si="21"/>
        <v>0</v>
      </c>
    </row>
    <row r="378" spans="1:7" x14ac:dyDescent="0.2">
      <c r="A378" s="7">
        <f t="shared" si="22"/>
        <v>45254</v>
      </c>
      <c r="B378">
        <f t="shared" si="20"/>
        <v>0</v>
      </c>
      <c r="F378" s="10">
        <f t="shared" si="23"/>
        <v>45254</v>
      </c>
      <c r="G378">
        <f t="shared" si="21"/>
        <v>0</v>
      </c>
    </row>
    <row r="379" spans="1:7" x14ac:dyDescent="0.2">
      <c r="A379" s="7">
        <f t="shared" si="22"/>
        <v>45255</v>
      </c>
      <c r="B379">
        <f t="shared" si="20"/>
        <v>0</v>
      </c>
      <c r="F379" s="10">
        <f t="shared" si="23"/>
        <v>45255</v>
      </c>
      <c r="G379">
        <f t="shared" si="21"/>
        <v>0</v>
      </c>
    </row>
    <row r="380" spans="1:7" x14ac:dyDescent="0.2">
      <c r="A380" s="7">
        <f t="shared" si="22"/>
        <v>45256</v>
      </c>
      <c r="B380">
        <f t="shared" si="20"/>
        <v>0</v>
      </c>
      <c r="F380" s="10">
        <f t="shared" si="23"/>
        <v>45256</v>
      </c>
      <c r="G380">
        <f t="shared" si="21"/>
        <v>0</v>
      </c>
    </row>
    <row r="381" spans="1:7" x14ac:dyDescent="0.2">
      <c r="A381" s="7">
        <f t="shared" si="22"/>
        <v>45257</v>
      </c>
      <c r="B381">
        <f t="shared" si="20"/>
        <v>0</v>
      </c>
      <c r="F381" s="10">
        <f t="shared" si="23"/>
        <v>45257</v>
      </c>
      <c r="G381">
        <f t="shared" si="21"/>
        <v>0</v>
      </c>
    </row>
    <row r="382" spans="1:7" x14ac:dyDescent="0.2">
      <c r="A382" s="7">
        <f t="shared" si="22"/>
        <v>45258</v>
      </c>
      <c r="B382">
        <f t="shared" si="20"/>
        <v>0</v>
      </c>
      <c r="F382" s="10">
        <f t="shared" si="23"/>
        <v>45258</v>
      </c>
      <c r="G382">
        <f t="shared" si="21"/>
        <v>0</v>
      </c>
    </row>
    <row r="383" spans="1:7" x14ac:dyDescent="0.2">
      <c r="A383" s="7">
        <f t="shared" si="22"/>
        <v>45259</v>
      </c>
      <c r="B383">
        <f t="shared" si="20"/>
        <v>0</v>
      </c>
      <c r="F383" s="10">
        <f t="shared" si="23"/>
        <v>45259</v>
      </c>
      <c r="G383">
        <f t="shared" si="21"/>
        <v>0</v>
      </c>
    </row>
    <row r="384" spans="1:7" x14ac:dyDescent="0.2">
      <c r="A384" s="7">
        <f t="shared" si="22"/>
        <v>45260</v>
      </c>
      <c r="B384">
        <f t="shared" si="20"/>
        <v>1</v>
      </c>
      <c r="F384" s="10">
        <f t="shared" si="23"/>
        <v>45260</v>
      </c>
      <c r="G384">
        <f t="shared" si="21"/>
        <v>700</v>
      </c>
    </row>
    <row r="385" spans="1:7" x14ac:dyDescent="0.2">
      <c r="A385" s="7">
        <f t="shared" si="22"/>
        <v>45261</v>
      </c>
      <c r="B385">
        <f t="shared" si="20"/>
        <v>0</v>
      </c>
      <c r="F385" s="10">
        <f t="shared" si="23"/>
        <v>45261</v>
      </c>
      <c r="G385">
        <f t="shared" si="21"/>
        <v>0</v>
      </c>
    </row>
    <row r="386" spans="1:7" x14ac:dyDescent="0.2">
      <c r="A386" s="7">
        <f t="shared" si="22"/>
        <v>45262</v>
      </c>
      <c r="B386">
        <f t="shared" ref="B386:B449" si="24">IFERROR(VLOOKUP(A386,$C$2:$D$1000,2,FALSE),0)</f>
        <v>0</v>
      </c>
      <c r="F386" s="10">
        <f t="shared" si="23"/>
        <v>45262</v>
      </c>
      <c r="G386">
        <f t="shared" si="21"/>
        <v>0</v>
      </c>
    </row>
    <row r="387" spans="1:7" x14ac:dyDescent="0.2">
      <c r="A387" s="7">
        <f t="shared" si="22"/>
        <v>45263</v>
      </c>
      <c r="B387">
        <f t="shared" si="24"/>
        <v>1</v>
      </c>
      <c r="F387" s="10">
        <f t="shared" si="23"/>
        <v>45263</v>
      </c>
      <c r="G387">
        <f t="shared" ref="G387:G450" si="25">IFERROR(VLOOKUP(F387,$H$2:$I$1000,2,FALSE),0)</f>
        <v>300</v>
      </c>
    </row>
    <row r="388" spans="1:7" x14ac:dyDescent="0.2">
      <c r="A388" s="7">
        <f t="shared" ref="A388:A451" si="26">A387+1</f>
        <v>45264</v>
      </c>
      <c r="B388">
        <f t="shared" si="24"/>
        <v>0</v>
      </c>
      <c r="F388" s="10">
        <f t="shared" ref="F388:F451" si="27">F387+1</f>
        <v>45264</v>
      </c>
      <c r="G388">
        <f t="shared" si="25"/>
        <v>0</v>
      </c>
    </row>
    <row r="389" spans="1:7" x14ac:dyDescent="0.2">
      <c r="A389" s="7">
        <f t="shared" si="26"/>
        <v>45265</v>
      </c>
      <c r="B389">
        <f t="shared" si="24"/>
        <v>0</v>
      </c>
      <c r="F389" s="10">
        <f t="shared" si="27"/>
        <v>45265</v>
      </c>
      <c r="G389">
        <f t="shared" si="25"/>
        <v>0</v>
      </c>
    </row>
    <row r="390" spans="1:7" x14ac:dyDescent="0.2">
      <c r="A390" s="7">
        <f t="shared" si="26"/>
        <v>45266</v>
      </c>
      <c r="B390">
        <f t="shared" si="24"/>
        <v>0</v>
      </c>
      <c r="F390" s="10">
        <f t="shared" si="27"/>
        <v>45266</v>
      </c>
      <c r="G390">
        <f t="shared" si="25"/>
        <v>0</v>
      </c>
    </row>
    <row r="391" spans="1:7" x14ac:dyDescent="0.2">
      <c r="A391" s="7">
        <f t="shared" si="26"/>
        <v>45267</v>
      </c>
      <c r="B391">
        <f t="shared" si="24"/>
        <v>0</v>
      </c>
      <c r="F391" s="10">
        <f t="shared" si="27"/>
        <v>45267</v>
      </c>
      <c r="G391">
        <f t="shared" si="25"/>
        <v>0</v>
      </c>
    </row>
    <row r="392" spans="1:7" x14ac:dyDescent="0.2">
      <c r="A392" s="7">
        <f t="shared" si="26"/>
        <v>45268</v>
      </c>
      <c r="B392">
        <f t="shared" si="24"/>
        <v>0</v>
      </c>
      <c r="F392" s="10">
        <f t="shared" si="27"/>
        <v>45268</v>
      </c>
      <c r="G392">
        <f t="shared" si="25"/>
        <v>0</v>
      </c>
    </row>
    <row r="393" spans="1:7" x14ac:dyDescent="0.2">
      <c r="A393" s="7">
        <f t="shared" si="26"/>
        <v>45269</v>
      </c>
      <c r="B393">
        <f t="shared" si="24"/>
        <v>1</v>
      </c>
      <c r="F393" s="10">
        <f t="shared" si="27"/>
        <v>45269</v>
      </c>
      <c r="G393">
        <f t="shared" si="25"/>
        <v>450</v>
      </c>
    </row>
    <row r="394" spans="1:7" x14ac:dyDescent="0.2">
      <c r="A394" s="7">
        <f t="shared" si="26"/>
        <v>45270</v>
      </c>
      <c r="B394">
        <f t="shared" si="24"/>
        <v>0</v>
      </c>
      <c r="F394" s="10">
        <f t="shared" si="27"/>
        <v>45270</v>
      </c>
      <c r="G394">
        <f t="shared" si="25"/>
        <v>0</v>
      </c>
    </row>
    <row r="395" spans="1:7" x14ac:dyDescent="0.2">
      <c r="A395" s="7">
        <f t="shared" si="26"/>
        <v>45271</v>
      </c>
      <c r="B395">
        <f t="shared" si="24"/>
        <v>0</v>
      </c>
      <c r="F395" s="10">
        <f t="shared" si="27"/>
        <v>45271</v>
      </c>
      <c r="G395">
        <f t="shared" si="25"/>
        <v>0</v>
      </c>
    </row>
    <row r="396" spans="1:7" x14ac:dyDescent="0.2">
      <c r="A396" s="7">
        <f t="shared" si="26"/>
        <v>45272</v>
      </c>
      <c r="B396">
        <f t="shared" si="24"/>
        <v>0</v>
      </c>
      <c r="F396" s="10">
        <f t="shared" si="27"/>
        <v>45272</v>
      </c>
      <c r="G396">
        <f t="shared" si="25"/>
        <v>0</v>
      </c>
    </row>
    <row r="397" spans="1:7" x14ac:dyDescent="0.2">
      <c r="A397" s="7">
        <f t="shared" si="26"/>
        <v>45273</v>
      </c>
      <c r="B397">
        <f t="shared" si="24"/>
        <v>0</v>
      </c>
      <c r="F397" s="10">
        <f t="shared" si="27"/>
        <v>45273</v>
      </c>
      <c r="G397">
        <f t="shared" si="25"/>
        <v>0</v>
      </c>
    </row>
    <row r="398" spans="1:7" x14ac:dyDescent="0.2">
      <c r="A398" s="7">
        <f t="shared" si="26"/>
        <v>45274</v>
      </c>
      <c r="B398">
        <f t="shared" si="24"/>
        <v>0</v>
      </c>
      <c r="F398" s="10">
        <f t="shared" si="27"/>
        <v>45274</v>
      </c>
      <c r="G398">
        <f t="shared" si="25"/>
        <v>0</v>
      </c>
    </row>
    <row r="399" spans="1:7" x14ac:dyDescent="0.2">
      <c r="A399" s="7">
        <f t="shared" si="26"/>
        <v>45275</v>
      </c>
      <c r="B399">
        <f t="shared" si="24"/>
        <v>0</v>
      </c>
      <c r="F399" s="10">
        <f t="shared" si="27"/>
        <v>45275</v>
      </c>
      <c r="G399">
        <f t="shared" si="25"/>
        <v>0</v>
      </c>
    </row>
    <row r="400" spans="1:7" x14ac:dyDescent="0.2">
      <c r="A400" s="7">
        <f t="shared" si="26"/>
        <v>45276</v>
      </c>
      <c r="B400">
        <f t="shared" si="24"/>
        <v>0</v>
      </c>
      <c r="F400" s="10">
        <f t="shared" si="27"/>
        <v>45276</v>
      </c>
      <c r="G400">
        <f t="shared" si="25"/>
        <v>0</v>
      </c>
    </row>
    <row r="401" spans="1:7" x14ac:dyDescent="0.2">
      <c r="A401" s="7">
        <f t="shared" si="26"/>
        <v>45277</v>
      </c>
      <c r="B401">
        <f t="shared" si="24"/>
        <v>0</v>
      </c>
      <c r="F401" s="10">
        <f t="shared" si="27"/>
        <v>45277</v>
      </c>
      <c r="G401">
        <f t="shared" si="25"/>
        <v>0</v>
      </c>
    </row>
    <row r="402" spans="1:7" x14ac:dyDescent="0.2">
      <c r="A402" s="7">
        <f t="shared" si="26"/>
        <v>45278</v>
      </c>
      <c r="B402">
        <f t="shared" si="24"/>
        <v>0</v>
      </c>
      <c r="F402" s="10">
        <f t="shared" si="27"/>
        <v>45278</v>
      </c>
      <c r="G402">
        <f t="shared" si="25"/>
        <v>0</v>
      </c>
    </row>
    <row r="403" spans="1:7" x14ac:dyDescent="0.2">
      <c r="A403" s="7">
        <f t="shared" si="26"/>
        <v>45279</v>
      </c>
      <c r="B403">
        <f t="shared" si="24"/>
        <v>0</v>
      </c>
      <c r="F403" s="10">
        <f t="shared" si="27"/>
        <v>45279</v>
      </c>
      <c r="G403">
        <f t="shared" si="25"/>
        <v>0</v>
      </c>
    </row>
    <row r="404" spans="1:7" x14ac:dyDescent="0.2">
      <c r="A404" s="7">
        <f t="shared" si="26"/>
        <v>45280</v>
      </c>
      <c r="B404">
        <f t="shared" si="24"/>
        <v>0</v>
      </c>
      <c r="F404" s="10">
        <f t="shared" si="27"/>
        <v>45280</v>
      </c>
      <c r="G404">
        <f t="shared" si="25"/>
        <v>0</v>
      </c>
    </row>
    <row r="405" spans="1:7" x14ac:dyDescent="0.2">
      <c r="A405" s="7">
        <f t="shared" si="26"/>
        <v>45281</v>
      </c>
      <c r="B405">
        <f t="shared" si="24"/>
        <v>0</v>
      </c>
      <c r="F405" s="10">
        <f t="shared" si="27"/>
        <v>45281</v>
      </c>
      <c r="G405">
        <f t="shared" si="25"/>
        <v>0</v>
      </c>
    </row>
    <row r="406" spans="1:7" x14ac:dyDescent="0.2">
      <c r="A406" s="7">
        <f t="shared" si="26"/>
        <v>45282</v>
      </c>
      <c r="B406">
        <f t="shared" si="24"/>
        <v>0</v>
      </c>
      <c r="F406" s="10">
        <f t="shared" si="27"/>
        <v>45282</v>
      </c>
      <c r="G406">
        <f t="shared" si="25"/>
        <v>0</v>
      </c>
    </row>
    <row r="407" spans="1:7" x14ac:dyDescent="0.2">
      <c r="A407" s="7">
        <f t="shared" si="26"/>
        <v>45283</v>
      </c>
      <c r="B407">
        <f t="shared" si="24"/>
        <v>0</v>
      </c>
      <c r="F407" s="10">
        <f t="shared" si="27"/>
        <v>45283</v>
      </c>
      <c r="G407">
        <f t="shared" si="25"/>
        <v>0</v>
      </c>
    </row>
    <row r="408" spans="1:7" x14ac:dyDescent="0.2">
      <c r="A408" s="7">
        <f t="shared" si="26"/>
        <v>45284</v>
      </c>
      <c r="B408">
        <f t="shared" si="24"/>
        <v>0</v>
      </c>
      <c r="F408" s="10">
        <f t="shared" si="27"/>
        <v>45284</v>
      </c>
      <c r="G408">
        <f t="shared" si="25"/>
        <v>0</v>
      </c>
    </row>
    <row r="409" spans="1:7" x14ac:dyDescent="0.2">
      <c r="A409" s="7">
        <f t="shared" si="26"/>
        <v>45285</v>
      </c>
      <c r="B409">
        <f t="shared" si="24"/>
        <v>0</v>
      </c>
      <c r="F409" s="10">
        <f t="shared" si="27"/>
        <v>45285</v>
      </c>
      <c r="G409">
        <f t="shared" si="25"/>
        <v>0</v>
      </c>
    </row>
    <row r="410" spans="1:7" x14ac:dyDescent="0.2">
      <c r="A410" s="7">
        <f t="shared" si="26"/>
        <v>45286</v>
      </c>
      <c r="B410">
        <f t="shared" si="24"/>
        <v>0</v>
      </c>
      <c r="F410" s="10">
        <f t="shared" si="27"/>
        <v>45286</v>
      </c>
      <c r="G410">
        <f t="shared" si="25"/>
        <v>0</v>
      </c>
    </row>
    <row r="411" spans="1:7" x14ac:dyDescent="0.2">
      <c r="A411" s="7">
        <f t="shared" si="26"/>
        <v>45287</v>
      </c>
      <c r="B411">
        <f t="shared" si="24"/>
        <v>0</v>
      </c>
      <c r="F411" s="10">
        <f t="shared" si="27"/>
        <v>45287</v>
      </c>
      <c r="G411">
        <f t="shared" si="25"/>
        <v>0</v>
      </c>
    </row>
    <row r="412" spans="1:7" x14ac:dyDescent="0.2">
      <c r="A412" s="7">
        <f t="shared" si="26"/>
        <v>45288</v>
      </c>
      <c r="B412">
        <f t="shared" si="24"/>
        <v>0</v>
      </c>
      <c r="F412" s="10">
        <f t="shared" si="27"/>
        <v>45288</v>
      </c>
      <c r="G412">
        <f t="shared" si="25"/>
        <v>0</v>
      </c>
    </row>
    <row r="413" spans="1:7" x14ac:dyDescent="0.2">
      <c r="A413" s="7">
        <f t="shared" si="26"/>
        <v>45289</v>
      </c>
      <c r="B413">
        <f t="shared" si="24"/>
        <v>0</v>
      </c>
      <c r="F413" s="10">
        <f t="shared" si="27"/>
        <v>45289</v>
      </c>
      <c r="G413">
        <f t="shared" si="25"/>
        <v>0</v>
      </c>
    </row>
    <row r="414" spans="1:7" x14ac:dyDescent="0.2">
      <c r="A414" s="7">
        <f t="shared" si="26"/>
        <v>45290</v>
      </c>
      <c r="B414">
        <f t="shared" si="24"/>
        <v>0</v>
      </c>
      <c r="F414" s="10">
        <f t="shared" si="27"/>
        <v>45290</v>
      </c>
      <c r="G414">
        <f t="shared" si="25"/>
        <v>0</v>
      </c>
    </row>
    <row r="415" spans="1:7" x14ac:dyDescent="0.2">
      <c r="A415" s="7">
        <f t="shared" si="26"/>
        <v>45291</v>
      </c>
      <c r="B415">
        <f t="shared" si="24"/>
        <v>0</v>
      </c>
      <c r="F415" s="10">
        <f t="shared" si="27"/>
        <v>45291</v>
      </c>
      <c r="G415">
        <f t="shared" si="25"/>
        <v>0</v>
      </c>
    </row>
    <row r="416" spans="1:7" x14ac:dyDescent="0.2">
      <c r="A416" s="7">
        <f t="shared" si="26"/>
        <v>45292</v>
      </c>
      <c r="B416">
        <f t="shared" si="24"/>
        <v>0</v>
      </c>
      <c r="F416" s="10">
        <f t="shared" si="27"/>
        <v>45292</v>
      </c>
      <c r="G416">
        <f t="shared" si="25"/>
        <v>0</v>
      </c>
    </row>
    <row r="417" spans="1:7" x14ac:dyDescent="0.2">
      <c r="A417" s="7">
        <f t="shared" si="26"/>
        <v>45293</v>
      </c>
      <c r="B417">
        <f t="shared" si="24"/>
        <v>0</v>
      </c>
      <c r="F417" s="10">
        <f t="shared" si="27"/>
        <v>45293</v>
      </c>
      <c r="G417">
        <f t="shared" si="25"/>
        <v>0</v>
      </c>
    </row>
    <row r="418" spans="1:7" x14ac:dyDescent="0.2">
      <c r="A418" s="7">
        <f t="shared" si="26"/>
        <v>45294</v>
      </c>
      <c r="B418">
        <f t="shared" si="24"/>
        <v>0</v>
      </c>
      <c r="F418" s="10">
        <f t="shared" si="27"/>
        <v>45294</v>
      </c>
      <c r="G418">
        <f t="shared" si="25"/>
        <v>0</v>
      </c>
    </row>
    <row r="419" spans="1:7" x14ac:dyDescent="0.2">
      <c r="A419" s="7">
        <f t="shared" si="26"/>
        <v>45295</v>
      </c>
      <c r="B419">
        <f t="shared" si="24"/>
        <v>0</v>
      </c>
      <c r="F419" s="10">
        <f t="shared" si="27"/>
        <v>45295</v>
      </c>
      <c r="G419">
        <f t="shared" si="25"/>
        <v>0</v>
      </c>
    </row>
    <row r="420" spans="1:7" x14ac:dyDescent="0.2">
      <c r="A420" s="7">
        <f t="shared" si="26"/>
        <v>45296</v>
      </c>
      <c r="B420">
        <f t="shared" si="24"/>
        <v>0</v>
      </c>
      <c r="F420" s="10">
        <f t="shared" si="27"/>
        <v>45296</v>
      </c>
      <c r="G420">
        <f t="shared" si="25"/>
        <v>0</v>
      </c>
    </row>
    <row r="421" spans="1:7" x14ac:dyDescent="0.2">
      <c r="A421" s="7">
        <f t="shared" si="26"/>
        <v>45297</v>
      </c>
      <c r="B421">
        <f t="shared" si="24"/>
        <v>0</v>
      </c>
      <c r="F421" s="10">
        <f t="shared" si="27"/>
        <v>45297</v>
      </c>
      <c r="G421">
        <f t="shared" si="25"/>
        <v>0</v>
      </c>
    </row>
    <row r="422" spans="1:7" x14ac:dyDescent="0.2">
      <c r="A422" s="7">
        <f t="shared" si="26"/>
        <v>45298</v>
      </c>
      <c r="B422">
        <f t="shared" si="24"/>
        <v>0</v>
      </c>
      <c r="F422" s="10">
        <f t="shared" si="27"/>
        <v>45298</v>
      </c>
      <c r="G422">
        <f t="shared" si="25"/>
        <v>0</v>
      </c>
    </row>
    <row r="423" spans="1:7" x14ac:dyDescent="0.2">
      <c r="A423" s="7">
        <f t="shared" si="26"/>
        <v>45299</v>
      </c>
      <c r="B423">
        <f t="shared" si="24"/>
        <v>1</v>
      </c>
      <c r="F423" s="10">
        <f t="shared" si="27"/>
        <v>45299</v>
      </c>
      <c r="G423">
        <f t="shared" si="25"/>
        <v>700</v>
      </c>
    </row>
    <row r="424" spans="1:7" x14ac:dyDescent="0.2">
      <c r="A424" s="7">
        <f t="shared" si="26"/>
        <v>45300</v>
      </c>
      <c r="B424">
        <f t="shared" si="24"/>
        <v>0</v>
      </c>
      <c r="F424" s="10">
        <f t="shared" si="27"/>
        <v>45300</v>
      </c>
      <c r="G424">
        <f t="shared" si="25"/>
        <v>0</v>
      </c>
    </row>
    <row r="425" spans="1:7" x14ac:dyDescent="0.2">
      <c r="A425" s="7">
        <f t="shared" si="26"/>
        <v>45301</v>
      </c>
      <c r="B425">
        <f t="shared" si="24"/>
        <v>0</v>
      </c>
      <c r="F425" s="10">
        <f t="shared" si="27"/>
        <v>45301</v>
      </c>
      <c r="G425">
        <f t="shared" si="25"/>
        <v>0</v>
      </c>
    </row>
    <row r="426" spans="1:7" x14ac:dyDescent="0.2">
      <c r="A426" s="7">
        <f t="shared" si="26"/>
        <v>45302</v>
      </c>
      <c r="B426">
        <f t="shared" si="24"/>
        <v>0</v>
      </c>
      <c r="F426" s="10">
        <f t="shared" si="27"/>
        <v>45302</v>
      </c>
      <c r="G426">
        <f t="shared" si="25"/>
        <v>0</v>
      </c>
    </row>
    <row r="427" spans="1:7" x14ac:dyDescent="0.2">
      <c r="A427" s="7">
        <f t="shared" si="26"/>
        <v>45303</v>
      </c>
      <c r="B427">
        <f t="shared" si="24"/>
        <v>0</v>
      </c>
      <c r="F427" s="10">
        <f t="shared" si="27"/>
        <v>45303</v>
      </c>
      <c r="G427">
        <f t="shared" si="25"/>
        <v>0</v>
      </c>
    </row>
    <row r="428" spans="1:7" x14ac:dyDescent="0.2">
      <c r="A428" s="7">
        <f t="shared" si="26"/>
        <v>45304</v>
      </c>
      <c r="B428">
        <f t="shared" si="24"/>
        <v>0</v>
      </c>
      <c r="F428" s="10">
        <f t="shared" si="27"/>
        <v>45304</v>
      </c>
      <c r="G428">
        <f t="shared" si="25"/>
        <v>0</v>
      </c>
    </row>
    <row r="429" spans="1:7" x14ac:dyDescent="0.2">
      <c r="A429" s="7">
        <f t="shared" si="26"/>
        <v>45305</v>
      </c>
      <c r="B429">
        <f t="shared" si="24"/>
        <v>0</v>
      </c>
      <c r="F429" s="10">
        <f t="shared" si="27"/>
        <v>45305</v>
      </c>
      <c r="G429">
        <f t="shared" si="25"/>
        <v>0</v>
      </c>
    </row>
    <row r="430" spans="1:7" x14ac:dyDescent="0.2">
      <c r="A430" s="7">
        <f t="shared" si="26"/>
        <v>45306</v>
      </c>
      <c r="B430">
        <f t="shared" si="24"/>
        <v>0</v>
      </c>
      <c r="F430" s="10">
        <f t="shared" si="27"/>
        <v>45306</v>
      </c>
      <c r="G430">
        <f t="shared" si="25"/>
        <v>0</v>
      </c>
    </row>
    <row r="431" spans="1:7" x14ac:dyDescent="0.2">
      <c r="A431" s="7">
        <f t="shared" si="26"/>
        <v>45307</v>
      </c>
      <c r="B431">
        <f t="shared" si="24"/>
        <v>1</v>
      </c>
      <c r="F431" s="10">
        <f t="shared" si="27"/>
        <v>45307</v>
      </c>
      <c r="G431">
        <f t="shared" si="25"/>
        <v>300</v>
      </c>
    </row>
    <row r="432" spans="1:7" x14ac:dyDescent="0.2">
      <c r="A432" s="7">
        <f t="shared" si="26"/>
        <v>45308</v>
      </c>
      <c r="B432">
        <f t="shared" si="24"/>
        <v>0</v>
      </c>
      <c r="F432" s="10">
        <f t="shared" si="27"/>
        <v>45308</v>
      </c>
      <c r="G432">
        <f t="shared" si="25"/>
        <v>0</v>
      </c>
    </row>
    <row r="433" spans="1:7" x14ac:dyDescent="0.2">
      <c r="A433" s="7">
        <f t="shared" si="26"/>
        <v>45309</v>
      </c>
      <c r="B433">
        <f t="shared" si="24"/>
        <v>0</v>
      </c>
      <c r="F433" s="10">
        <f t="shared" si="27"/>
        <v>45309</v>
      </c>
      <c r="G433">
        <f t="shared" si="25"/>
        <v>0</v>
      </c>
    </row>
    <row r="434" spans="1:7" x14ac:dyDescent="0.2">
      <c r="A434" s="7">
        <f t="shared" si="26"/>
        <v>45310</v>
      </c>
      <c r="B434">
        <f t="shared" si="24"/>
        <v>0</v>
      </c>
      <c r="F434" s="10">
        <f t="shared" si="27"/>
        <v>45310</v>
      </c>
      <c r="G434">
        <f t="shared" si="25"/>
        <v>0</v>
      </c>
    </row>
    <row r="435" spans="1:7" x14ac:dyDescent="0.2">
      <c r="A435" s="7">
        <f t="shared" si="26"/>
        <v>45311</v>
      </c>
      <c r="B435">
        <f t="shared" si="24"/>
        <v>0</v>
      </c>
      <c r="F435" s="10">
        <f t="shared" si="27"/>
        <v>45311</v>
      </c>
      <c r="G435">
        <f t="shared" si="25"/>
        <v>0</v>
      </c>
    </row>
    <row r="436" spans="1:7" x14ac:dyDescent="0.2">
      <c r="A436" s="7">
        <f t="shared" si="26"/>
        <v>45312</v>
      </c>
      <c r="B436">
        <f t="shared" si="24"/>
        <v>0</v>
      </c>
      <c r="F436" s="10">
        <f t="shared" si="27"/>
        <v>45312</v>
      </c>
      <c r="G436">
        <f t="shared" si="25"/>
        <v>0</v>
      </c>
    </row>
    <row r="437" spans="1:7" x14ac:dyDescent="0.2">
      <c r="A437" s="7">
        <f t="shared" si="26"/>
        <v>45313</v>
      </c>
      <c r="B437">
        <f t="shared" si="24"/>
        <v>2</v>
      </c>
      <c r="F437" s="10">
        <f t="shared" si="27"/>
        <v>45313</v>
      </c>
      <c r="G437">
        <f t="shared" si="25"/>
        <v>1150</v>
      </c>
    </row>
    <row r="438" spans="1:7" x14ac:dyDescent="0.2">
      <c r="A438" s="7">
        <f t="shared" si="26"/>
        <v>45314</v>
      </c>
      <c r="B438">
        <f t="shared" si="24"/>
        <v>0</v>
      </c>
      <c r="F438" s="10">
        <f t="shared" si="27"/>
        <v>45314</v>
      </c>
      <c r="G438">
        <f t="shared" si="25"/>
        <v>0</v>
      </c>
    </row>
    <row r="439" spans="1:7" x14ac:dyDescent="0.2">
      <c r="A439" s="7">
        <f t="shared" si="26"/>
        <v>45315</v>
      </c>
      <c r="B439">
        <f t="shared" si="24"/>
        <v>1</v>
      </c>
      <c r="F439" s="10">
        <f t="shared" si="27"/>
        <v>45315</v>
      </c>
      <c r="G439">
        <f t="shared" si="25"/>
        <v>300</v>
      </c>
    </row>
    <row r="440" spans="1:7" x14ac:dyDescent="0.2">
      <c r="A440" s="7">
        <f t="shared" si="26"/>
        <v>45316</v>
      </c>
      <c r="B440">
        <f t="shared" si="24"/>
        <v>0</v>
      </c>
      <c r="F440" s="10">
        <f t="shared" si="27"/>
        <v>45316</v>
      </c>
      <c r="G440">
        <f t="shared" si="25"/>
        <v>0</v>
      </c>
    </row>
    <row r="441" spans="1:7" x14ac:dyDescent="0.2">
      <c r="A441" s="7">
        <f t="shared" si="26"/>
        <v>45317</v>
      </c>
      <c r="B441">
        <f t="shared" si="24"/>
        <v>0</v>
      </c>
      <c r="F441" s="10">
        <f t="shared" si="27"/>
        <v>45317</v>
      </c>
      <c r="G441">
        <f t="shared" si="25"/>
        <v>0</v>
      </c>
    </row>
    <row r="442" spans="1:7" x14ac:dyDescent="0.2">
      <c r="A442" s="7">
        <f t="shared" si="26"/>
        <v>45318</v>
      </c>
      <c r="B442">
        <f t="shared" si="24"/>
        <v>0</v>
      </c>
      <c r="F442" s="10">
        <f t="shared" si="27"/>
        <v>45318</v>
      </c>
      <c r="G442">
        <f t="shared" si="25"/>
        <v>0</v>
      </c>
    </row>
    <row r="443" spans="1:7" x14ac:dyDescent="0.2">
      <c r="A443" s="7">
        <f t="shared" si="26"/>
        <v>45319</v>
      </c>
      <c r="B443">
        <f t="shared" si="24"/>
        <v>0</v>
      </c>
      <c r="F443" s="10">
        <f t="shared" si="27"/>
        <v>45319</v>
      </c>
      <c r="G443">
        <f t="shared" si="25"/>
        <v>0</v>
      </c>
    </row>
    <row r="444" spans="1:7" x14ac:dyDescent="0.2">
      <c r="A444" s="7">
        <f t="shared" si="26"/>
        <v>45320</v>
      </c>
      <c r="B444">
        <f t="shared" si="24"/>
        <v>0</v>
      </c>
      <c r="F444" s="10">
        <f t="shared" si="27"/>
        <v>45320</v>
      </c>
      <c r="G444">
        <f t="shared" si="25"/>
        <v>0</v>
      </c>
    </row>
    <row r="445" spans="1:7" x14ac:dyDescent="0.2">
      <c r="A445" s="7">
        <f t="shared" si="26"/>
        <v>45321</v>
      </c>
      <c r="B445">
        <f t="shared" si="24"/>
        <v>0</v>
      </c>
      <c r="F445" s="10">
        <f t="shared" si="27"/>
        <v>45321</v>
      </c>
      <c r="G445">
        <f t="shared" si="25"/>
        <v>0</v>
      </c>
    </row>
    <row r="446" spans="1:7" x14ac:dyDescent="0.2">
      <c r="A446" s="7">
        <f t="shared" si="26"/>
        <v>45322</v>
      </c>
      <c r="B446">
        <f t="shared" si="24"/>
        <v>2</v>
      </c>
      <c r="F446" s="10">
        <f t="shared" si="27"/>
        <v>45322</v>
      </c>
      <c r="G446">
        <f t="shared" si="25"/>
        <v>1150</v>
      </c>
    </row>
    <row r="447" spans="1:7" x14ac:dyDescent="0.2">
      <c r="A447" s="7">
        <f t="shared" si="26"/>
        <v>45323</v>
      </c>
      <c r="B447">
        <f t="shared" si="24"/>
        <v>0</v>
      </c>
      <c r="F447" s="10">
        <f t="shared" si="27"/>
        <v>45323</v>
      </c>
      <c r="G447">
        <f t="shared" si="25"/>
        <v>0</v>
      </c>
    </row>
    <row r="448" spans="1:7" x14ac:dyDescent="0.2">
      <c r="A448" s="7">
        <f t="shared" si="26"/>
        <v>45324</v>
      </c>
      <c r="B448">
        <f t="shared" si="24"/>
        <v>0</v>
      </c>
      <c r="F448" s="10">
        <f t="shared" si="27"/>
        <v>45324</v>
      </c>
      <c r="G448">
        <f t="shared" si="25"/>
        <v>0</v>
      </c>
    </row>
    <row r="449" spans="1:7" x14ac:dyDescent="0.2">
      <c r="A449" s="7">
        <f t="shared" si="26"/>
        <v>45325</v>
      </c>
      <c r="B449">
        <f t="shared" si="24"/>
        <v>0</v>
      </c>
      <c r="F449" s="10">
        <f t="shared" si="27"/>
        <v>45325</v>
      </c>
      <c r="G449">
        <f t="shared" si="25"/>
        <v>0</v>
      </c>
    </row>
    <row r="450" spans="1:7" x14ac:dyDescent="0.2">
      <c r="A450" s="7">
        <f t="shared" si="26"/>
        <v>45326</v>
      </c>
      <c r="B450">
        <f t="shared" ref="B450:B513" si="28">IFERROR(VLOOKUP(A450,$C$2:$D$1000,2,FALSE),0)</f>
        <v>0</v>
      </c>
      <c r="F450" s="10">
        <f t="shared" si="27"/>
        <v>45326</v>
      </c>
      <c r="G450">
        <f t="shared" si="25"/>
        <v>0</v>
      </c>
    </row>
    <row r="451" spans="1:7" x14ac:dyDescent="0.2">
      <c r="A451" s="7">
        <f t="shared" si="26"/>
        <v>45327</v>
      </c>
      <c r="B451">
        <f t="shared" si="28"/>
        <v>0</v>
      </c>
      <c r="F451" s="10">
        <f t="shared" si="27"/>
        <v>45327</v>
      </c>
      <c r="G451">
        <f t="shared" ref="G451:G514" si="29">IFERROR(VLOOKUP(F451,$H$2:$I$1000,2,FALSE),0)</f>
        <v>0</v>
      </c>
    </row>
    <row r="452" spans="1:7" x14ac:dyDescent="0.2">
      <c r="A452" s="7">
        <f t="shared" ref="A452:A515" si="30">A451+1</f>
        <v>45328</v>
      </c>
      <c r="B452">
        <f t="shared" si="28"/>
        <v>0</v>
      </c>
      <c r="F452" s="10">
        <f t="shared" ref="F452:F515" si="31">F451+1</f>
        <v>45328</v>
      </c>
      <c r="G452">
        <f t="shared" si="29"/>
        <v>0</v>
      </c>
    </row>
    <row r="453" spans="1:7" x14ac:dyDescent="0.2">
      <c r="A453" s="7">
        <f t="shared" si="30"/>
        <v>45329</v>
      </c>
      <c r="B453">
        <f t="shared" si="28"/>
        <v>0</v>
      </c>
      <c r="F453" s="10">
        <f t="shared" si="31"/>
        <v>45329</v>
      </c>
      <c r="G453">
        <f t="shared" si="29"/>
        <v>0</v>
      </c>
    </row>
    <row r="454" spans="1:7" x14ac:dyDescent="0.2">
      <c r="A454" s="7">
        <f t="shared" si="30"/>
        <v>45330</v>
      </c>
      <c r="B454">
        <f t="shared" si="28"/>
        <v>1</v>
      </c>
      <c r="F454" s="10">
        <f t="shared" si="31"/>
        <v>45330</v>
      </c>
      <c r="G454">
        <f t="shared" si="29"/>
        <v>300</v>
      </c>
    </row>
    <row r="455" spans="1:7" x14ac:dyDescent="0.2">
      <c r="A455" s="7">
        <f t="shared" si="30"/>
        <v>45331</v>
      </c>
      <c r="B455">
        <f t="shared" si="28"/>
        <v>1</v>
      </c>
      <c r="F455" s="10">
        <f t="shared" si="31"/>
        <v>45331</v>
      </c>
      <c r="G455">
        <f t="shared" si="29"/>
        <v>450</v>
      </c>
    </row>
    <row r="456" spans="1:7" x14ac:dyDescent="0.2">
      <c r="A456" s="7">
        <f t="shared" si="30"/>
        <v>45332</v>
      </c>
      <c r="B456">
        <f t="shared" si="28"/>
        <v>0</v>
      </c>
      <c r="F456" s="10">
        <f t="shared" si="31"/>
        <v>45332</v>
      </c>
      <c r="G456">
        <f t="shared" si="29"/>
        <v>0</v>
      </c>
    </row>
    <row r="457" spans="1:7" x14ac:dyDescent="0.2">
      <c r="A457" s="7">
        <f t="shared" si="30"/>
        <v>45333</v>
      </c>
      <c r="B457">
        <f t="shared" si="28"/>
        <v>1</v>
      </c>
      <c r="F457" s="10">
        <f t="shared" si="31"/>
        <v>45333</v>
      </c>
      <c r="G457">
        <f t="shared" si="29"/>
        <v>700</v>
      </c>
    </row>
    <row r="458" spans="1:7" x14ac:dyDescent="0.2">
      <c r="A458" s="7">
        <f t="shared" si="30"/>
        <v>45334</v>
      </c>
      <c r="B458">
        <f t="shared" si="28"/>
        <v>0</v>
      </c>
      <c r="F458" s="10">
        <f t="shared" si="31"/>
        <v>45334</v>
      </c>
      <c r="G458">
        <f t="shared" si="29"/>
        <v>0</v>
      </c>
    </row>
    <row r="459" spans="1:7" x14ac:dyDescent="0.2">
      <c r="A459" s="7">
        <f t="shared" si="30"/>
        <v>45335</v>
      </c>
      <c r="B459">
        <f t="shared" si="28"/>
        <v>0</v>
      </c>
      <c r="F459" s="10">
        <f t="shared" si="31"/>
        <v>45335</v>
      </c>
      <c r="G459">
        <f t="shared" si="29"/>
        <v>0</v>
      </c>
    </row>
    <row r="460" spans="1:7" x14ac:dyDescent="0.2">
      <c r="A460" s="7">
        <f t="shared" si="30"/>
        <v>45336</v>
      </c>
      <c r="B460">
        <f t="shared" si="28"/>
        <v>0</v>
      </c>
      <c r="F460" s="10">
        <f t="shared" si="31"/>
        <v>45336</v>
      </c>
      <c r="G460">
        <f t="shared" si="29"/>
        <v>0</v>
      </c>
    </row>
    <row r="461" spans="1:7" x14ac:dyDescent="0.2">
      <c r="A461" s="7">
        <f t="shared" si="30"/>
        <v>45337</v>
      </c>
      <c r="B461">
        <f t="shared" si="28"/>
        <v>0</v>
      </c>
      <c r="F461" s="10">
        <f t="shared" si="31"/>
        <v>45337</v>
      </c>
      <c r="G461">
        <f t="shared" si="29"/>
        <v>0</v>
      </c>
    </row>
    <row r="462" spans="1:7" x14ac:dyDescent="0.2">
      <c r="A462" s="7">
        <f t="shared" si="30"/>
        <v>45338</v>
      </c>
      <c r="B462">
        <f t="shared" si="28"/>
        <v>1</v>
      </c>
      <c r="F462" s="10">
        <f t="shared" si="31"/>
        <v>45338</v>
      </c>
      <c r="G462">
        <f t="shared" si="29"/>
        <v>300</v>
      </c>
    </row>
    <row r="463" spans="1:7" x14ac:dyDescent="0.2">
      <c r="A463" s="7">
        <f t="shared" si="30"/>
        <v>45339</v>
      </c>
      <c r="B463">
        <f t="shared" si="28"/>
        <v>0</v>
      </c>
      <c r="F463" s="10">
        <f t="shared" si="31"/>
        <v>45339</v>
      </c>
      <c r="G463">
        <f t="shared" si="29"/>
        <v>0</v>
      </c>
    </row>
    <row r="464" spans="1:7" x14ac:dyDescent="0.2">
      <c r="A464" s="7">
        <f t="shared" si="30"/>
        <v>45340</v>
      </c>
      <c r="B464">
        <f t="shared" si="28"/>
        <v>0</v>
      </c>
      <c r="F464" s="10">
        <f t="shared" si="31"/>
        <v>45340</v>
      </c>
      <c r="G464">
        <f t="shared" si="29"/>
        <v>0</v>
      </c>
    </row>
    <row r="465" spans="1:7" x14ac:dyDescent="0.2">
      <c r="A465" s="7">
        <f t="shared" si="30"/>
        <v>45341</v>
      </c>
      <c r="B465">
        <f t="shared" si="28"/>
        <v>0</v>
      </c>
      <c r="F465" s="10">
        <f t="shared" si="31"/>
        <v>45341</v>
      </c>
      <c r="G465">
        <f t="shared" si="29"/>
        <v>0</v>
      </c>
    </row>
    <row r="466" spans="1:7" x14ac:dyDescent="0.2">
      <c r="A466" s="7">
        <f t="shared" si="30"/>
        <v>45342</v>
      </c>
      <c r="B466">
        <f t="shared" si="28"/>
        <v>0</v>
      </c>
      <c r="F466" s="10">
        <f t="shared" si="31"/>
        <v>45342</v>
      </c>
      <c r="G466">
        <f t="shared" si="29"/>
        <v>0</v>
      </c>
    </row>
    <row r="467" spans="1:7" x14ac:dyDescent="0.2">
      <c r="A467" s="7">
        <f t="shared" si="30"/>
        <v>45343</v>
      </c>
      <c r="B467">
        <f t="shared" si="28"/>
        <v>1</v>
      </c>
      <c r="F467" s="10">
        <f t="shared" si="31"/>
        <v>45343</v>
      </c>
      <c r="G467">
        <f t="shared" si="29"/>
        <v>450</v>
      </c>
    </row>
    <row r="468" spans="1:7" x14ac:dyDescent="0.2">
      <c r="A468" s="7">
        <f t="shared" si="30"/>
        <v>45344</v>
      </c>
      <c r="B468">
        <f t="shared" si="28"/>
        <v>0</v>
      </c>
      <c r="F468" s="10">
        <f t="shared" si="31"/>
        <v>45344</v>
      </c>
      <c r="G468">
        <f t="shared" si="29"/>
        <v>0</v>
      </c>
    </row>
    <row r="469" spans="1:7" x14ac:dyDescent="0.2">
      <c r="A469" s="7">
        <f t="shared" si="30"/>
        <v>45345</v>
      </c>
      <c r="B469">
        <f t="shared" si="28"/>
        <v>1</v>
      </c>
      <c r="F469" s="10">
        <f t="shared" si="31"/>
        <v>45345</v>
      </c>
      <c r="G469">
        <f t="shared" si="29"/>
        <v>700</v>
      </c>
    </row>
    <row r="470" spans="1:7" x14ac:dyDescent="0.2">
      <c r="A470" s="7">
        <f t="shared" si="30"/>
        <v>45346</v>
      </c>
      <c r="B470">
        <f t="shared" si="28"/>
        <v>0</v>
      </c>
      <c r="F470" s="10">
        <f t="shared" si="31"/>
        <v>45346</v>
      </c>
      <c r="G470">
        <f t="shared" si="29"/>
        <v>0</v>
      </c>
    </row>
    <row r="471" spans="1:7" x14ac:dyDescent="0.2">
      <c r="A471" s="7">
        <f t="shared" si="30"/>
        <v>45347</v>
      </c>
      <c r="B471">
        <f t="shared" si="28"/>
        <v>0</v>
      </c>
      <c r="F471" s="10">
        <f t="shared" si="31"/>
        <v>45347</v>
      </c>
      <c r="G471">
        <f t="shared" si="29"/>
        <v>0</v>
      </c>
    </row>
    <row r="472" spans="1:7" x14ac:dyDescent="0.2">
      <c r="A472" s="7">
        <f t="shared" si="30"/>
        <v>45348</v>
      </c>
      <c r="B472">
        <f t="shared" si="28"/>
        <v>0</v>
      </c>
      <c r="F472" s="10">
        <f t="shared" si="31"/>
        <v>45348</v>
      </c>
      <c r="G472">
        <f t="shared" si="29"/>
        <v>0</v>
      </c>
    </row>
    <row r="473" spans="1:7" x14ac:dyDescent="0.2">
      <c r="A473" s="7">
        <f t="shared" si="30"/>
        <v>45349</v>
      </c>
      <c r="B473">
        <f t="shared" si="28"/>
        <v>1</v>
      </c>
      <c r="F473" s="10">
        <f t="shared" si="31"/>
        <v>45349</v>
      </c>
      <c r="G473">
        <f t="shared" si="29"/>
        <v>300</v>
      </c>
    </row>
    <row r="474" spans="1:7" x14ac:dyDescent="0.2">
      <c r="A474" s="7">
        <f t="shared" si="30"/>
        <v>45350</v>
      </c>
      <c r="B474">
        <f t="shared" si="28"/>
        <v>2</v>
      </c>
      <c r="F474" s="10">
        <f t="shared" si="31"/>
        <v>45350</v>
      </c>
      <c r="G474">
        <f t="shared" si="29"/>
        <v>1150</v>
      </c>
    </row>
    <row r="475" spans="1:7" x14ac:dyDescent="0.2">
      <c r="A475" s="7">
        <f t="shared" si="30"/>
        <v>45351</v>
      </c>
      <c r="B475">
        <f t="shared" si="28"/>
        <v>0</v>
      </c>
      <c r="F475" s="10">
        <f t="shared" si="31"/>
        <v>45351</v>
      </c>
      <c r="G475">
        <f t="shared" si="29"/>
        <v>0</v>
      </c>
    </row>
    <row r="476" spans="1:7" x14ac:dyDescent="0.2">
      <c r="A476" s="7">
        <f t="shared" si="30"/>
        <v>45352</v>
      </c>
      <c r="B476">
        <f t="shared" si="28"/>
        <v>0</v>
      </c>
      <c r="F476" s="10">
        <f t="shared" si="31"/>
        <v>45352</v>
      </c>
      <c r="G476">
        <f t="shared" si="29"/>
        <v>0</v>
      </c>
    </row>
    <row r="477" spans="1:7" x14ac:dyDescent="0.2">
      <c r="A477" s="7">
        <f t="shared" si="30"/>
        <v>45353</v>
      </c>
      <c r="B477">
        <f t="shared" si="28"/>
        <v>2</v>
      </c>
      <c r="F477" s="10">
        <f t="shared" si="31"/>
        <v>45353</v>
      </c>
      <c r="G477">
        <f t="shared" si="29"/>
        <v>750</v>
      </c>
    </row>
    <row r="478" spans="1:7" x14ac:dyDescent="0.2">
      <c r="A478" s="7">
        <f t="shared" si="30"/>
        <v>45354</v>
      </c>
      <c r="B478">
        <f t="shared" si="28"/>
        <v>0</v>
      </c>
      <c r="F478" s="10">
        <f t="shared" si="31"/>
        <v>45354</v>
      </c>
      <c r="G478">
        <f t="shared" si="29"/>
        <v>0</v>
      </c>
    </row>
    <row r="479" spans="1:7" x14ac:dyDescent="0.2">
      <c r="A479" s="7">
        <f t="shared" si="30"/>
        <v>45355</v>
      </c>
      <c r="B479">
        <f t="shared" si="28"/>
        <v>0</v>
      </c>
      <c r="F479" s="10">
        <f t="shared" si="31"/>
        <v>45355</v>
      </c>
      <c r="G479">
        <f t="shared" si="29"/>
        <v>0</v>
      </c>
    </row>
    <row r="480" spans="1:7" x14ac:dyDescent="0.2">
      <c r="A480" s="7">
        <f t="shared" si="30"/>
        <v>45356</v>
      </c>
      <c r="B480">
        <f t="shared" si="28"/>
        <v>0</v>
      </c>
      <c r="F480" s="10">
        <f t="shared" si="31"/>
        <v>45356</v>
      </c>
      <c r="G480">
        <f t="shared" si="29"/>
        <v>0</v>
      </c>
    </row>
    <row r="481" spans="1:7" x14ac:dyDescent="0.2">
      <c r="A481" s="7">
        <f t="shared" si="30"/>
        <v>45357</v>
      </c>
      <c r="B481">
        <f t="shared" si="28"/>
        <v>0</v>
      </c>
      <c r="F481" s="10">
        <f t="shared" si="31"/>
        <v>45357</v>
      </c>
      <c r="G481">
        <f t="shared" si="29"/>
        <v>0</v>
      </c>
    </row>
    <row r="482" spans="1:7" x14ac:dyDescent="0.2">
      <c r="A482" s="7">
        <f t="shared" si="30"/>
        <v>45358</v>
      </c>
      <c r="B482">
        <f t="shared" si="28"/>
        <v>0</v>
      </c>
      <c r="F482" s="10">
        <f t="shared" si="31"/>
        <v>45358</v>
      </c>
      <c r="G482">
        <f t="shared" si="29"/>
        <v>0</v>
      </c>
    </row>
    <row r="483" spans="1:7" x14ac:dyDescent="0.2">
      <c r="A483" s="7">
        <f t="shared" si="30"/>
        <v>45359</v>
      </c>
      <c r="B483">
        <f t="shared" si="28"/>
        <v>0</v>
      </c>
      <c r="F483" s="10">
        <f t="shared" si="31"/>
        <v>45359</v>
      </c>
      <c r="G483">
        <f t="shared" si="29"/>
        <v>0</v>
      </c>
    </row>
    <row r="484" spans="1:7" x14ac:dyDescent="0.2">
      <c r="A484" s="7">
        <f t="shared" si="30"/>
        <v>45360</v>
      </c>
      <c r="B484">
        <f t="shared" si="28"/>
        <v>0</v>
      </c>
      <c r="F484" s="10">
        <f t="shared" si="31"/>
        <v>45360</v>
      </c>
      <c r="G484">
        <f t="shared" si="29"/>
        <v>0</v>
      </c>
    </row>
    <row r="485" spans="1:7" x14ac:dyDescent="0.2">
      <c r="A485" s="7">
        <f t="shared" si="30"/>
        <v>45361</v>
      </c>
      <c r="B485">
        <f t="shared" si="28"/>
        <v>0</v>
      </c>
      <c r="F485" s="10">
        <f t="shared" si="31"/>
        <v>45361</v>
      </c>
      <c r="G485">
        <f t="shared" si="29"/>
        <v>0</v>
      </c>
    </row>
    <row r="486" spans="1:7" x14ac:dyDescent="0.2">
      <c r="A486" s="7">
        <f t="shared" si="30"/>
        <v>45362</v>
      </c>
      <c r="B486">
        <f t="shared" si="28"/>
        <v>0</v>
      </c>
      <c r="F486" s="10">
        <f t="shared" si="31"/>
        <v>45362</v>
      </c>
      <c r="G486">
        <f t="shared" si="29"/>
        <v>0</v>
      </c>
    </row>
    <row r="487" spans="1:7" x14ac:dyDescent="0.2">
      <c r="A487" s="7">
        <f t="shared" si="30"/>
        <v>45363</v>
      </c>
      <c r="B487">
        <f t="shared" si="28"/>
        <v>0</v>
      </c>
      <c r="F487" s="10">
        <f t="shared" si="31"/>
        <v>45363</v>
      </c>
      <c r="G487">
        <f t="shared" si="29"/>
        <v>0</v>
      </c>
    </row>
    <row r="488" spans="1:7" x14ac:dyDescent="0.2">
      <c r="A488" s="7">
        <f t="shared" si="30"/>
        <v>45364</v>
      </c>
      <c r="B488">
        <f t="shared" si="28"/>
        <v>0</v>
      </c>
      <c r="F488" s="10">
        <f t="shared" si="31"/>
        <v>45364</v>
      </c>
      <c r="G488">
        <f t="shared" si="29"/>
        <v>0</v>
      </c>
    </row>
    <row r="489" spans="1:7" x14ac:dyDescent="0.2">
      <c r="A489" s="7">
        <f t="shared" si="30"/>
        <v>45365</v>
      </c>
      <c r="B489">
        <f t="shared" si="28"/>
        <v>0</v>
      </c>
      <c r="F489" s="10">
        <f t="shared" si="31"/>
        <v>45365</v>
      </c>
      <c r="G489">
        <f t="shared" si="29"/>
        <v>0</v>
      </c>
    </row>
    <row r="490" spans="1:7" x14ac:dyDescent="0.2">
      <c r="A490" s="7">
        <f t="shared" si="30"/>
        <v>45366</v>
      </c>
      <c r="B490">
        <f t="shared" si="28"/>
        <v>0</v>
      </c>
      <c r="F490" s="10">
        <f t="shared" si="31"/>
        <v>45366</v>
      </c>
      <c r="G490">
        <f t="shared" si="29"/>
        <v>0</v>
      </c>
    </row>
    <row r="491" spans="1:7" x14ac:dyDescent="0.2">
      <c r="A491" s="7">
        <f t="shared" si="30"/>
        <v>45367</v>
      </c>
      <c r="B491">
        <f t="shared" si="28"/>
        <v>0</v>
      </c>
      <c r="F491" s="10">
        <f t="shared" si="31"/>
        <v>45367</v>
      </c>
      <c r="G491">
        <f t="shared" si="29"/>
        <v>0</v>
      </c>
    </row>
    <row r="492" spans="1:7" x14ac:dyDescent="0.2">
      <c r="A492" s="7">
        <f t="shared" si="30"/>
        <v>45368</v>
      </c>
      <c r="B492">
        <f t="shared" si="28"/>
        <v>1</v>
      </c>
      <c r="F492" s="10">
        <f t="shared" si="31"/>
        <v>45368</v>
      </c>
      <c r="G492">
        <f t="shared" si="29"/>
        <v>700</v>
      </c>
    </row>
    <row r="493" spans="1:7" x14ac:dyDescent="0.2">
      <c r="A493" s="7">
        <f t="shared" si="30"/>
        <v>45369</v>
      </c>
      <c r="B493">
        <f t="shared" si="28"/>
        <v>0</v>
      </c>
      <c r="F493" s="10">
        <f t="shared" si="31"/>
        <v>45369</v>
      </c>
      <c r="G493">
        <f t="shared" si="29"/>
        <v>0</v>
      </c>
    </row>
    <row r="494" spans="1:7" x14ac:dyDescent="0.2">
      <c r="A494" s="7">
        <f t="shared" si="30"/>
        <v>45370</v>
      </c>
      <c r="B494">
        <f t="shared" si="28"/>
        <v>0</v>
      </c>
      <c r="F494" s="10">
        <f t="shared" si="31"/>
        <v>45370</v>
      </c>
      <c r="G494">
        <f t="shared" si="29"/>
        <v>0</v>
      </c>
    </row>
    <row r="495" spans="1:7" x14ac:dyDescent="0.2">
      <c r="A495" s="7">
        <f t="shared" si="30"/>
        <v>45371</v>
      </c>
      <c r="B495">
        <f t="shared" si="28"/>
        <v>0</v>
      </c>
      <c r="F495" s="10">
        <f t="shared" si="31"/>
        <v>45371</v>
      </c>
      <c r="G495">
        <f t="shared" si="29"/>
        <v>0</v>
      </c>
    </row>
    <row r="496" spans="1:7" x14ac:dyDescent="0.2">
      <c r="A496" s="7">
        <f t="shared" si="30"/>
        <v>45372</v>
      </c>
      <c r="B496">
        <f t="shared" si="28"/>
        <v>0</v>
      </c>
      <c r="F496" s="10">
        <f t="shared" si="31"/>
        <v>45372</v>
      </c>
      <c r="G496">
        <f t="shared" si="29"/>
        <v>0</v>
      </c>
    </row>
    <row r="497" spans="1:7" x14ac:dyDescent="0.2">
      <c r="A497" s="7">
        <f t="shared" si="30"/>
        <v>45373</v>
      </c>
      <c r="B497">
        <f t="shared" si="28"/>
        <v>1</v>
      </c>
      <c r="F497" s="10">
        <f t="shared" si="31"/>
        <v>45373</v>
      </c>
      <c r="G497">
        <f t="shared" si="29"/>
        <v>300</v>
      </c>
    </row>
    <row r="498" spans="1:7" x14ac:dyDescent="0.2">
      <c r="A498" s="7">
        <f t="shared" si="30"/>
        <v>45374</v>
      </c>
      <c r="B498">
        <f t="shared" si="28"/>
        <v>0</v>
      </c>
      <c r="F498" s="10">
        <f t="shared" si="31"/>
        <v>45374</v>
      </c>
      <c r="G498">
        <f t="shared" si="29"/>
        <v>0</v>
      </c>
    </row>
    <row r="499" spans="1:7" x14ac:dyDescent="0.2">
      <c r="A499" s="7">
        <f t="shared" si="30"/>
        <v>45375</v>
      </c>
      <c r="B499">
        <f t="shared" si="28"/>
        <v>1</v>
      </c>
      <c r="F499" s="10">
        <f t="shared" si="31"/>
        <v>45375</v>
      </c>
      <c r="G499">
        <f t="shared" si="29"/>
        <v>450</v>
      </c>
    </row>
    <row r="500" spans="1:7" x14ac:dyDescent="0.2">
      <c r="A500" s="7">
        <f t="shared" si="30"/>
        <v>45376</v>
      </c>
      <c r="B500">
        <f t="shared" si="28"/>
        <v>0</v>
      </c>
      <c r="F500" s="10">
        <f t="shared" si="31"/>
        <v>45376</v>
      </c>
      <c r="G500">
        <f t="shared" si="29"/>
        <v>0</v>
      </c>
    </row>
    <row r="501" spans="1:7" x14ac:dyDescent="0.2">
      <c r="A501" s="7">
        <f t="shared" si="30"/>
        <v>45377</v>
      </c>
      <c r="B501">
        <f t="shared" si="28"/>
        <v>0</v>
      </c>
      <c r="F501" s="10">
        <f t="shared" si="31"/>
        <v>45377</v>
      </c>
      <c r="G501">
        <f t="shared" si="29"/>
        <v>0</v>
      </c>
    </row>
    <row r="502" spans="1:7" x14ac:dyDescent="0.2">
      <c r="A502" s="7">
        <f t="shared" si="30"/>
        <v>45378</v>
      </c>
      <c r="B502">
        <f t="shared" si="28"/>
        <v>0</v>
      </c>
      <c r="F502" s="10">
        <f t="shared" si="31"/>
        <v>45378</v>
      </c>
      <c r="G502">
        <f t="shared" si="29"/>
        <v>0</v>
      </c>
    </row>
    <row r="503" spans="1:7" x14ac:dyDescent="0.2">
      <c r="A503" s="7">
        <f t="shared" si="30"/>
        <v>45379</v>
      </c>
      <c r="B503">
        <f t="shared" si="28"/>
        <v>0</v>
      </c>
      <c r="F503" s="10">
        <f t="shared" si="31"/>
        <v>45379</v>
      </c>
      <c r="G503">
        <f t="shared" si="29"/>
        <v>0</v>
      </c>
    </row>
    <row r="504" spans="1:7" x14ac:dyDescent="0.2">
      <c r="A504" s="7">
        <f t="shared" si="30"/>
        <v>45380</v>
      </c>
      <c r="B504">
        <f t="shared" si="28"/>
        <v>0</v>
      </c>
      <c r="F504" s="10">
        <f t="shared" si="31"/>
        <v>45380</v>
      </c>
      <c r="G504">
        <f t="shared" si="29"/>
        <v>0</v>
      </c>
    </row>
    <row r="505" spans="1:7" x14ac:dyDescent="0.2">
      <c r="A505" s="7">
        <f t="shared" si="30"/>
        <v>45381</v>
      </c>
      <c r="B505">
        <f t="shared" si="28"/>
        <v>0</v>
      </c>
      <c r="F505" s="10">
        <f t="shared" si="31"/>
        <v>45381</v>
      </c>
      <c r="G505">
        <f t="shared" si="29"/>
        <v>0</v>
      </c>
    </row>
    <row r="506" spans="1:7" x14ac:dyDescent="0.2">
      <c r="A506" s="7">
        <f t="shared" si="30"/>
        <v>45382</v>
      </c>
      <c r="B506">
        <f t="shared" si="28"/>
        <v>0</v>
      </c>
      <c r="F506" s="10">
        <f t="shared" si="31"/>
        <v>45382</v>
      </c>
      <c r="G506">
        <f t="shared" si="29"/>
        <v>0</v>
      </c>
    </row>
    <row r="507" spans="1:7" x14ac:dyDescent="0.2">
      <c r="A507" s="7">
        <f t="shared" si="30"/>
        <v>45383</v>
      </c>
      <c r="B507">
        <f t="shared" si="28"/>
        <v>0</v>
      </c>
      <c r="F507" s="10">
        <f t="shared" si="31"/>
        <v>45383</v>
      </c>
      <c r="G507">
        <f t="shared" si="29"/>
        <v>0</v>
      </c>
    </row>
    <row r="508" spans="1:7" x14ac:dyDescent="0.2">
      <c r="A508" s="7">
        <f t="shared" si="30"/>
        <v>45384</v>
      </c>
      <c r="B508">
        <f t="shared" si="28"/>
        <v>0</v>
      </c>
      <c r="F508" s="10">
        <f t="shared" si="31"/>
        <v>45384</v>
      </c>
      <c r="G508">
        <f t="shared" si="29"/>
        <v>0</v>
      </c>
    </row>
    <row r="509" spans="1:7" x14ac:dyDescent="0.2">
      <c r="A509" s="7">
        <f t="shared" si="30"/>
        <v>45385</v>
      </c>
      <c r="B509">
        <f t="shared" si="28"/>
        <v>0</v>
      </c>
      <c r="F509" s="10">
        <f t="shared" si="31"/>
        <v>45385</v>
      </c>
      <c r="G509">
        <f t="shared" si="29"/>
        <v>0</v>
      </c>
    </row>
    <row r="510" spans="1:7" x14ac:dyDescent="0.2">
      <c r="A510" s="7">
        <f t="shared" si="30"/>
        <v>45386</v>
      </c>
      <c r="B510">
        <f t="shared" si="28"/>
        <v>0</v>
      </c>
      <c r="F510" s="10">
        <f t="shared" si="31"/>
        <v>45386</v>
      </c>
      <c r="G510">
        <f t="shared" si="29"/>
        <v>0</v>
      </c>
    </row>
    <row r="511" spans="1:7" x14ac:dyDescent="0.2">
      <c r="A511" s="7">
        <f t="shared" si="30"/>
        <v>45387</v>
      </c>
      <c r="B511">
        <f t="shared" si="28"/>
        <v>0</v>
      </c>
      <c r="F511" s="10">
        <f t="shared" si="31"/>
        <v>45387</v>
      </c>
      <c r="G511">
        <f t="shared" si="29"/>
        <v>0</v>
      </c>
    </row>
    <row r="512" spans="1:7" x14ac:dyDescent="0.2">
      <c r="A512" s="7">
        <f t="shared" si="30"/>
        <v>45388</v>
      </c>
      <c r="B512">
        <f t="shared" si="28"/>
        <v>0</v>
      </c>
      <c r="F512" s="10">
        <f t="shared" si="31"/>
        <v>45388</v>
      </c>
      <c r="G512">
        <f t="shared" si="29"/>
        <v>0</v>
      </c>
    </row>
    <row r="513" spans="1:7" x14ac:dyDescent="0.2">
      <c r="A513" s="7">
        <f t="shared" si="30"/>
        <v>45389</v>
      </c>
      <c r="B513">
        <f t="shared" si="28"/>
        <v>0</v>
      </c>
      <c r="F513" s="10">
        <f t="shared" si="31"/>
        <v>45389</v>
      </c>
      <c r="G513">
        <f t="shared" si="29"/>
        <v>0</v>
      </c>
    </row>
    <row r="514" spans="1:7" x14ac:dyDescent="0.2">
      <c r="A514" s="7">
        <f t="shared" si="30"/>
        <v>45390</v>
      </c>
      <c r="B514">
        <f t="shared" ref="B514:B577" si="32">IFERROR(VLOOKUP(A514,$C$2:$D$1000,2,FALSE),0)</f>
        <v>0</v>
      </c>
      <c r="F514" s="10">
        <f t="shared" si="31"/>
        <v>45390</v>
      </c>
      <c r="G514">
        <f t="shared" si="29"/>
        <v>0</v>
      </c>
    </row>
    <row r="515" spans="1:7" x14ac:dyDescent="0.2">
      <c r="A515" s="7">
        <f t="shared" si="30"/>
        <v>45391</v>
      </c>
      <c r="B515">
        <f t="shared" si="32"/>
        <v>1</v>
      </c>
      <c r="F515" s="10">
        <f t="shared" si="31"/>
        <v>45391</v>
      </c>
      <c r="G515">
        <f t="shared" ref="G515:G578" si="33">IFERROR(VLOOKUP(F515,$H$2:$I$1000,2,FALSE),0)</f>
        <v>700</v>
      </c>
    </row>
    <row r="516" spans="1:7" x14ac:dyDescent="0.2">
      <c r="A516" s="7">
        <f t="shared" ref="A516:A579" si="34">A515+1</f>
        <v>45392</v>
      </c>
      <c r="B516">
        <f t="shared" si="32"/>
        <v>0</v>
      </c>
      <c r="F516" s="10">
        <f t="shared" ref="F516:F579" si="35">F515+1</f>
        <v>45392</v>
      </c>
      <c r="G516">
        <f t="shared" si="33"/>
        <v>0</v>
      </c>
    </row>
    <row r="517" spans="1:7" x14ac:dyDescent="0.2">
      <c r="A517" s="7">
        <f t="shared" si="34"/>
        <v>45393</v>
      </c>
      <c r="B517">
        <f t="shared" si="32"/>
        <v>0</v>
      </c>
      <c r="F517" s="10">
        <f t="shared" si="35"/>
        <v>45393</v>
      </c>
      <c r="G517">
        <f t="shared" si="33"/>
        <v>0</v>
      </c>
    </row>
    <row r="518" spans="1:7" x14ac:dyDescent="0.2">
      <c r="A518" s="7">
        <f t="shared" si="34"/>
        <v>45394</v>
      </c>
      <c r="B518">
        <f t="shared" si="32"/>
        <v>0</v>
      </c>
      <c r="F518" s="10">
        <f t="shared" si="35"/>
        <v>45394</v>
      </c>
      <c r="G518">
        <f t="shared" si="33"/>
        <v>0</v>
      </c>
    </row>
    <row r="519" spans="1:7" x14ac:dyDescent="0.2">
      <c r="A519" s="7">
        <f t="shared" si="34"/>
        <v>45395</v>
      </c>
      <c r="B519">
        <f t="shared" si="32"/>
        <v>0</v>
      </c>
      <c r="F519" s="10">
        <f t="shared" si="35"/>
        <v>45395</v>
      </c>
      <c r="G519">
        <f t="shared" si="33"/>
        <v>0</v>
      </c>
    </row>
    <row r="520" spans="1:7" x14ac:dyDescent="0.2">
      <c r="A520" s="7">
        <f t="shared" si="34"/>
        <v>45396</v>
      </c>
      <c r="B520">
        <f t="shared" si="32"/>
        <v>0</v>
      </c>
      <c r="F520" s="10">
        <f t="shared" si="35"/>
        <v>45396</v>
      </c>
      <c r="G520">
        <f t="shared" si="33"/>
        <v>0</v>
      </c>
    </row>
    <row r="521" spans="1:7" x14ac:dyDescent="0.2">
      <c r="A521" s="7">
        <f t="shared" si="34"/>
        <v>45397</v>
      </c>
      <c r="B521">
        <f t="shared" si="32"/>
        <v>0</v>
      </c>
      <c r="F521" s="10">
        <f t="shared" si="35"/>
        <v>45397</v>
      </c>
      <c r="G521">
        <f t="shared" si="33"/>
        <v>0</v>
      </c>
    </row>
    <row r="522" spans="1:7" x14ac:dyDescent="0.2">
      <c r="A522" s="7">
        <f t="shared" si="34"/>
        <v>45398</v>
      </c>
      <c r="B522">
        <f t="shared" si="32"/>
        <v>0</v>
      </c>
      <c r="F522" s="10">
        <f t="shared" si="35"/>
        <v>45398</v>
      </c>
      <c r="G522">
        <f t="shared" si="33"/>
        <v>0</v>
      </c>
    </row>
    <row r="523" spans="1:7" x14ac:dyDescent="0.2">
      <c r="A523" s="7">
        <f t="shared" si="34"/>
        <v>45399</v>
      </c>
      <c r="B523">
        <f t="shared" si="32"/>
        <v>1</v>
      </c>
      <c r="F523" s="10">
        <f t="shared" si="35"/>
        <v>45399</v>
      </c>
      <c r="G523">
        <f t="shared" si="33"/>
        <v>300</v>
      </c>
    </row>
    <row r="524" spans="1:7" x14ac:dyDescent="0.2">
      <c r="A524" s="7">
        <f t="shared" si="34"/>
        <v>45400</v>
      </c>
      <c r="B524">
        <f t="shared" si="32"/>
        <v>0</v>
      </c>
      <c r="F524" s="10">
        <f t="shared" si="35"/>
        <v>45400</v>
      </c>
      <c r="G524">
        <f t="shared" si="33"/>
        <v>0</v>
      </c>
    </row>
    <row r="525" spans="1:7" x14ac:dyDescent="0.2">
      <c r="A525" s="7">
        <f t="shared" si="34"/>
        <v>45401</v>
      </c>
      <c r="B525">
        <f t="shared" si="32"/>
        <v>0</v>
      </c>
      <c r="F525" s="10">
        <f t="shared" si="35"/>
        <v>45401</v>
      </c>
      <c r="G525">
        <f t="shared" si="33"/>
        <v>0</v>
      </c>
    </row>
    <row r="526" spans="1:7" x14ac:dyDescent="0.2">
      <c r="A526" s="7">
        <f t="shared" si="34"/>
        <v>45402</v>
      </c>
      <c r="B526">
        <f t="shared" si="32"/>
        <v>0</v>
      </c>
      <c r="F526" s="10">
        <f t="shared" si="35"/>
        <v>45402</v>
      </c>
      <c r="G526">
        <f t="shared" si="33"/>
        <v>0</v>
      </c>
    </row>
    <row r="527" spans="1:7" x14ac:dyDescent="0.2">
      <c r="A527" s="7">
        <f t="shared" si="34"/>
        <v>45403</v>
      </c>
      <c r="B527">
        <f t="shared" si="32"/>
        <v>0</v>
      </c>
      <c r="F527" s="10">
        <f t="shared" si="35"/>
        <v>45403</v>
      </c>
      <c r="G527">
        <f t="shared" si="33"/>
        <v>0</v>
      </c>
    </row>
    <row r="528" spans="1:7" x14ac:dyDescent="0.2">
      <c r="A528" s="7">
        <f t="shared" si="34"/>
        <v>45404</v>
      </c>
      <c r="B528">
        <f t="shared" si="32"/>
        <v>0</v>
      </c>
      <c r="F528" s="10">
        <f t="shared" si="35"/>
        <v>45404</v>
      </c>
      <c r="G528">
        <f t="shared" si="33"/>
        <v>0</v>
      </c>
    </row>
    <row r="529" spans="1:7" x14ac:dyDescent="0.2">
      <c r="A529" s="7">
        <f t="shared" si="34"/>
        <v>45405</v>
      </c>
      <c r="B529">
        <f t="shared" si="32"/>
        <v>0</v>
      </c>
      <c r="F529" s="10">
        <f t="shared" si="35"/>
        <v>45405</v>
      </c>
      <c r="G529">
        <f t="shared" si="33"/>
        <v>0</v>
      </c>
    </row>
    <row r="530" spans="1:7" x14ac:dyDescent="0.2">
      <c r="A530" s="7">
        <f t="shared" si="34"/>
        <v>45406</v>
      </c>
      <c r="B530">
        <f t="shared" si="32"/>
        <v>0</v>
      </c>
      <c r="F530" s="10">
        <f t="shared" si="35"/>
        <v>45406</v>
      </c>
      <c r="G530">
        <f t="shared" si="33"/>
        <v>0</v>
      </c>
    </row>
    <row r="531" spans="1:7" x14ac:dyDescent="0.2">
      <c r="A531" s="7">
        <f t="shared" si="34"/>
        <v>45407</v>
      </c>
      <c r="B531">
        <f t="shared" si="32"/>
        <v>0</v>
      </c>
      <c r="F531" s="10">
        <f t="shared" si="35"/>
        <v>45407</v>
      </c>
      <c r="G531">
        <f t="shared" si="33"/>
        <v>0</v>
      </c>
    </row>
    <row r="532" spans="1:7" x14ac:dyDescent="0.2">
      <c r="A532" s="7">
        <f t="shared" si="34"/>
        <v>45408</v>
      </c>
      <c r="B532">
        <f t="shared" si="32"/>
        <v>0</v>
      </c>
      <c r="F532" s="10">
        <f t="shared" si="35"/>
        <v>45408</v>
      </c>
      <c r="G532">
        <f t="shared" si="33"/>
        <v>0</v>
      </c>
    </row>
    <row r="533" spans="1:7" x14ac:dyDescent="0.2">
      <c r="A533" s="7">
        <f t="shared" si="34"/>
        <v>45409</v>
      </c>
      <c r="B533">
        <f t="shared" si="32"/>
        <v>0</v>
      </c>
      <c r="F533" s="10">
        <f t="shared" si="35"/>
        <v>45409</v>
      </c>
      <c r="G533">
        <f t="shared" si="33"/>
        <v>0</v>
      </c>
    </row>
    <row r="534" spans="1:7" x14ac:dyDescent="0.2">
      <c r="A534" s="7">
        <f t="shared" si="34"/>
        <v>45410</v>
      </c>
      <c r="B534">
        <f t="shared" si="32"/>
        <v>1</v>
      </c>
      <c r="F534" s="10">
        <f t="shared" si="35"/>
        <v>45410</v>
      </c>
      <c r="G534">
        <f t="shared" si="33"/>
        <v>450</v>
      </c>
    </row>
    <row r="535" spans="1:7" x14ac:dyDescent="0.2">
      <c r="A535" s="7">
        <f t="shared" si="34"/>
        <v>45411</v>
      </c>
      <c r="B535">
        <f t="shared" si="32"/>
        <v>0</v>
      </c>
      <c r="F535" s="10">
        <f t="shared" si="35"/>
        <v>45411</v>
      </c>
      <c r="G535">
        <f t="shared" si="33"/>
        <v>0</v>
      </c>
    </row>
    <row r="536" spans="1:7" x14ac:dyDescent="0.2">
      <c r="A536" s="7">
        <f t="shared" si="34"/>
        <v>45412</v>
      </c>
      <c r="B536">
        <f t="shared" si="32"/>
        <v>0</v>
      </c>
      <c r="F536" s="10">
        <f t="shared" si="35"/>
        <v>45412</v>
      </c>
      <c r="G536">
        <f t="shared" si="33"/>
        <v>0</v>
      </c>
    </row>
    <row r="537" spans="1:7" x14ac:dyDescent="0.2">
      <c r="A537" s="7">
        <f t="shared" si="34"/>
        <v>45413</v>
      </c>
      <c r="B537">
        <f t="shared" si="32"/>
        <v>0</v>
      </c>
      <c r="F537" s="10">
        <f t="shared" si="35"/>
        <v>45413</v>
      </c>
      <c r="G537">
        <f t="shared" si="33"/>
        <v>0</v>
      </c>
    </row>
    <row r="538" spans="1:7" x14ac:dyDescent="0.2">
      <c r="A538" s="7">
        <f t="shared" si="34"/>
        <v>45414</v>
      </c>
      <c r="B538">
        <f t="shared" si="32"/>
        <v>0</v>
      </c>
      <c r="F538" s="10">
        <f t="shared" si="35"/>
        <v>45414</v>
      </c>
      <c r="G538">
        <f t="shared" si="33"/>
        <v>0</v>
      </c>
    </row>
    <row r="539" spans="1:7" x14ac:dyDescent="0.2">
      <c r="A539" s="7">
        <f t="shared" si="34"/>
        <v>45415</v>
      </c>
      <c r="B539">
        <f t="shared" si="32"/>
        <v>0</v>
      </c>
      <c r="F539" s="10">
        <f t="shared" si="35"/>
        <v>45415</v>
      </c>
      <c r="G539">
        <f t="shared" si="33"/>
        <v>0</v>
      </c>
    </row>
    <row r="540" spans="1:7" x14ac:dyDescent="0.2">
      <c r="A540" s="7">
        <f t="shared" si="34"/>
        <v>45416</v>
      </c>
      <c r="B540">
        <f t="shared" si="32"/>
        <v>1</v>
      </c>
      <c r="F540" s="10">
        <f t="shared" si="35"/>
        <v>45416</v>
      </c>
      <c r="G540">
        <f t="shared" si="33"/>
        <v>700</v>
      </c>
    </row>
    <row r="541" spans="1:7" x14ac:dyDescent="0.2">
      <c r="A541" s="7">
        <f t="shared" si="34"/>
        <v>45417</v>
      </c>
      <c r="B541">
        <f t="shared" si="32"/>
        <v>0</v>
      </c>
      <c r="F541" s="10">
        <f t="shared" si="35"/>
        <v>45417</v>
      </c>
      <c r="G541">
        <f t="shared" si="33"/>
        <v>0</v>
      </c>
    </row>
    <row r="542" spans="1:7" x14ac:dyDescent="0.2">
      <c r="A542" s="7">
        <f t="shared" si="34"/>
        <v>45418</v>
      </c>
      <c r="B542">
        <f t="shared" si="32"/>
        <v>0</v>
      </c>
      <c r="F542" s="10">
        <f t="shared" si="35"/>
        <v>45418</v>
      </c>
      <c r="G542">
        <f t="shared" si="33"/>
        <v>0</v>
      </c>
    </row>
    <row r="543" spans="1:7" x14ac:dyDescent="0.2">
      <c r="A543" s="7">
        <f t="shared" si="34"/>
        <v>45419</v>
      </c>
      <c r="B543">
        <f t="shared" si="32"/>
        <v>0</v>
      </c>
      <c r="F543" s="10">
        <f t="shared" si="35"/>
        <v>45419</v>
      </c>
      <c r="G543">
        <f t="shared" si="33"/>
        <v>0</v>
      </c>
    </row>
    <row r="544" spans="1:7" x14ac:dyDescent="0.2">
      <c r="A544" s="7">
        <f t="shared" si="34"/>
        <v>45420</v>
      </c>
      <c r="B544">
        <f t="shared" si="32"/>
        <v>0</v>
      </c>
      <c r="F544" s="10">
        <f t="shared" si="35"/>
        <v>45420</v>
      </c>
      <c r="G544">
        <f t="shared" si="33"/>
        <v>0</v>
      </c>
    </row>
    <row r="545" spans="1:7" x14ac:dyDescent="0.2">
      <c r="A545" s="7">
        <f t="shared" si="34"/>
        <v>45421</v>
      </c>
      <c r="B545">
        <f t="shared" si="32"/>
        <v>0</v>
      </c>
      <c r="F545" s="10">
        <f t="shared" si="35"/>
        <v>45421</v>
      </c>
      <c r="G545">
        <f t="shared" si="33"/>
        <v>0</v>
      </c>
    </row>
    <row r="546" spans="1:7" x14ac:dyDescent="0.2">
      <c r="A546" s="7">
        <f t="shared" si="34"/>
        <v>45422</v>
      </c>
      <c r="B546">
        <f t="shared" si="32"/>
        <v>0</v>
      </c>
      <c r="F546" s="10">
        <f t="shared" si="35"/>
        <v>45422</v>
      </c>
      <c r="G546">
        <f t="shared" si="33"/>
        <v>0</v>
      </c>
    </row>
    <row r="547" spans="1:7" x14ac:dyDescent="0.2">
      <c r="A547" s="7">
        <f t="shared" si="34"/>
        <v>45423</v>
      </c>
      <c r="B547">
        <f t="shared" si="32"/>
        <v>0</v>
      </c>
      <c r="F547" s="10">
        <f t="shared" si="35"/>
        <v>45423</v>
      </c>
      <c r="G547">
        <f t="shared" si="33"/>
        <v>0</v>
      </c>
    </row>
    <row r="548" spans="1:7" x14ac:dyDescent="0.2">
      <c r="A548" s="7">
        <f t="shared" si="34"/>
        <v>45424</v>
      </c>
      <c r="B548">
        <f t="shared" si="32"/>
        <v>0</v>
      </c>
      <c r="F548" s="10">
        <f t="shared" si="35"/>
        <v>45424</v>
      </c>
      <c r="G548">
        <f t="shared" si="33"/>
        <v>0</v>
      </c>
    </row>
    <row r="549" spans="1:7" x14ac:dyDescent="0.2">
      <c r="A549" s="7">
        <f t="shared" si="34"/>
        <v>45425</v>
      </c>
      <c r="B549">
        <f t="shared" si="32"/>
        <v>1</v>
      </c>
      <c r="F549" s="10">
        <f t="shared" si="35"/>
        <v>45425</v>
      </c>
      <c r="G549">
        <f t="shared" si="33"/>
        <v>300</v>
      </c>
    </row>
    <row r="550" spans="1:7" x14ac:dyDescent="0.2">
      <c r="A550" s="7">
        <f t="shared" si="34"/>
        <v>45426</v>
      </c>
      <c r="B550">
        <f t="shared" si="32"/>
        <v>0</v>
      </c>
      <c r="F550" s="10">
        <f t="shared" si="35"/>
        <v>45426</v>
      </c>
      <c r="G550">
        <f t="shared" si="33"/>
        <v>0</v>
      </c>
    </row>
    <row r="551" spans="1:7" x14ac:dyDescent="0.2">
      <c r="A551" s="7">
        <f t="shared" si="34"/>
        <v>45427</v>
      </c>
      <c r="B551">
        <f t="shared" si="32"/>
        <v>0</v>
      </c>
      <c r="F551" s="10">
        <f t="shared" si="35"/>
        <v>45427</v>
      </c>
      <c r="G551">
        <f t="shared" si="33"/>
        <v>0</v>
      </c>
    </row>
    <row r="552" spans="1:7" x14ac:dyDescent="0.2">
      <c r="A552" s="7">
        <f t="shared" si="34"/>
        <v>45428</v>
      </c>
      <c r="B552">
        <f t="shared" si="32"/>
        <v>0</v>
      </c>
      <c r="F552" s="10">
        <f t="shared" si="35"/>
        <v>45428</v>
      </c>
      <c r="G552">
        <f t="shared" si="33"/>
        <v>0</v>
      </c>
    </row>
    <row r="553" spans="1:7" x14ac:dyDescent="0.2">
      <c r="A553" s="7">
        <f t="shared" si="34"/>
        <v>45429</v>
      </c>
      <c r="B553">
        <f t="shared" si="32"/>
        <v>0</v>
      </c>
      <c r="F553" s="10">
        <f t="shared" si="35"/>
        <v>45429</v>
      </c>
      <c r="G553">
        <f t="shared" si="33"/>
        <v>0</v>
      </c>
    </row>
    <row r="554" spans="1:7" x14ac:dyDescent="0.2">
      <c r="A554" s="7">
        <f t="shared" si="34"/>
        <v>45430</v>
      </c>
      <c r="B554">
        <f t="shared" si="32"/>
        <v>0</v>
      </c>
      <c r="F554" s="10">
        <f t="shared" si="35"/>
        <v>45430</v>
      </c>
      <c r="G554">
        <f t="shared" si="33"/>
        <v>0</v>
      </c>
    </row>
    <row r="555" spans="1:7" x14ac:dyDescent="0.2">
      <c r="A555" s="7">
        <f t="shared" si="34"/>
        <v>45431</v>
      </c>
      <c r="B555">
        <f t="shared" si="32"/>
        <v>0</v>
      </c>
      <c r="F555" s="10">
        <f t="shared" si="35"/>
        <v>45431</v>
      </c>
      <c r="G555">
        <f t="shared" si="33"/>
        <v>0</v>
      </c>
    </row>
    <row r="556" spans="1:7" x14ac:dyDescent="0.2">
      <c r="A556" s="7">
        <f t="shared" si="34"/>
        <v>45432</v>
      </c>
      <c r="B556">
        <f t="shared" si="32"/>
        <v>0</v>
      </c>
      <c r="F556" s="10">
        <f t="shared" si="35"/>
        <v>45432</v>
      </c>
      <c r="G556">
        <f t="shared" si="33"/>
        <v>0</v>
      </c>
    </row>
    <row r="557" spans="1:7" x14ac:dyDescent="0.2">
      <c r="A557" s="7">
        <f t="shared" si="34"/>
        <v>45433</v>
      </c>
      <c r="B557">
        <f t="shared" si="32"/>
        <v>0</v>
      </c>
      <c r="F557" s="10">
        <f t="shared" si="35"/>
        <v>45433</v>
      </c>
      <c r="G557">
        <f t="shared" si="33"/>
        <v>0</v>
      </c>
    </row>
    <row r="558" spans="1:7" x14ac:dyDescent="0.2">
      <c r="A558" s="7">
        <f t="shared" si="34"/>
        <v>45434</v>
      </c>
      <c r="B558">
        <f t="shared" si="32"/>
        <v>0</v>
      </c>
      <c r="F558" s="10">
        <f t="shared" si="35"/>
        <v>45434</v>
      </c>
      <c r="G558">
        <f t="shared" si="33"/>
        <v>0</v>
      </c>
    </row>
    <row r="559" spans="1:7" x14ac:dyDescent="0.2">
      <c r="A559" s="7">
        <f t="shared" si="34"/>
        <v>45435</v>
      </c>
      <c r="B559">
        <f t="shared" si="32"/>
        <v>0</v>
      </c>
      <c r="F559" s="10">
        <f t="shared" si="35"/>
        <v>45435</v>
      </c>
      <c r="G559">
        <f t="shared" si="33"/>
        <v>0</v>
      </c>
    </row>
    <row r="560" spans="1:7" x14ac:dyDescent="0.2">
      <c r="A560" s="7">
        <f t="shared" si="34"/>
        <v>45436</v>
      </c>
      <c r="B560">
        <f t="shared" si="32"/>
        <v>0</v>
      </c>
      <c r="F560" s="10">
        <f t="shared" si="35"/>
        <v>45436</v>
      </c>
      <c r="G560">
        <f t="shared" si="33"/>
        <v>0</v>
      </c>
    </row>
    <row r="561" spans="1:7" x14ac:dyDescent="0.2">
      <c r="A561" s="7">
        <f t="shared" si="34"/>
        <v>45437</v>
      </c>
      <c r="B561">
        <f t="shared" si="32"/>
        <v>1</v>
      </c>
      <c r="F561" s="10">
        <f t="shared" si="35"/>
        <v>45437</v>
      </c>
      <c r="G561">
        <f t="shared" si="33"/>
        <v>450</v>
      </c>
    </row>
    <row r="562" spans="1:7" x14ac:dyDescent="0.2">
      <c r="A562" s="7">
        <f t="shared" si="34"/>
        <v>45438</v>
      </c>
      <c r="B562">
        <f t="shared" si="32"/>
        <v>0</v>
      </c>
      <c r="F562" s="10">
        <f t="shared" si="35"/>
        <v>45438</v>
      </c>
      <c r="G562">
        <f t="shared" si="33"/>
        <v>0</v>
      </c>
    </row>
    <row r="563" spans="1:7" x14ac:dyDescent="0.2">
      <c r="A563" s="7">
        <f t="shared" si="34"/>
        <v>45439</v>
      </c>
      <c r="B563">
        <f t="shared" si="32"/>
        <v>0</v>
      </c>
      <c r="F563" s="10">
        <f t="shared" si="35"/>
        <v>45439</v>
      </c>
      <c r="G563">
        <f t="shared" si="33"/>
        <v>0</v>
      </c>
    </row>
    <row r="564" spans="1:7" x14ac:dyDescent="0.2">
      <c r="A564" s="7">
        <f t="shared" si="34"/>
        <v>45440</v>
      </c>
      <c r="B564">
        <f t="shared" si="32"/>
        <v>0</v>
      </c>
      <c r="F564" s="10">
        <f t="shared" si="35"/>
        <v>45440</v>
      </c>
      <c r="G564">
        <f t="shared" si="33"/>
        <v>0</v>
      </c>
    </row>
    <row r="565" spans="1:7" x14ac:dyDescent="0.2">
      <c r="A565" s="7">
        <f t="shared" si="34"/>
        <v>45441</v>
      </c>
      <c r="B565">
        <f t="shared" si="32"/>
        <v>0</v>
      </c>
      <c r="F565" s="10">
        <f t="shared" si="35"/>
        <v>45441</v>
      </c>
      <c r="G565">
        <f t="shared" si="33"/>
        <v>0</v>
      </c>
    </row>
    <row r="566" spans="1:7" x14ac:dyDescent="0.2">
      <c r="A566" s="7">
        <f t="shared" si="34"/>
        <v>45442</v>
      </c>
      <c r="B566">
        <f t="shared" si="32"/>
        <v>0</v>
      </c>
      <c r="F566" s="10">
        <f t="shared" si="35"/>
        <v>45442</v>
      </c>
      <c r="G566">
        <f t="shared" si="33"/>
        <v>0</v>
      </c>
    </row>
    <row r="567" spans="1:7" x14ac:dyDescent="0.2">
      <c r="A567" s="7">
        <f t="shared" si="34"/>
        <v>45443</v>
      </c>
      <c r="B567">
        <f t="shared" si="32"/>
        <v>0</v>
      </c>
      <c r="F567" s="10">
        <f t="shared" si="35"/>
        <v>45443</v>
      </c>
      <c r="G567">
        <f t="shared" si="33"/>
        <v>0</v>
      </c>
    </row>
    <row r="568" spans="1:7" x14ac:dyDescent="0.2">
      <c r="A568" s="7">
        <f t="shared" si="34"/>
        <v>45444</v>
      </c>
      <c r="B568">
        <f t="shared" si="32"/>
        <v>0</v>
      </c>
      <c r="F568" s="10">
        <f t="shared" si="35"/>
        <v>45444</v>
      </c>
      <c r="G568">
        <f t="shared" si="33"/>
        <v>0</v>
      </c>
    </row>
    <row r="569" spans="1:7" x14ac:dyDescent="0.2">
      <c r="A569" s="7">
        <f t="shared" si="34"/>
        <v>45445</v>
      </c>
      <c r="B569">
        <f t="shared" si="32"/>
        <v>0</v>
      </c>
      <c r="F569" s="10">
        <f t="shared" si="35"/>
        <v>45445</v>
      </c>
      <c r="G569">
        <f t="shared" si="33"/>
        <v>0</v>
      </c>
    </row>
    <row r="570" spans="1:7" x14ac:dyDescent="0.2">
      <c r="A570" s="7">
        <f t="shared" si="34"/>
        <v>45446</v>
      </c>
      <c r="B570">
        <f t="shared" si="32"/>
        <v>0</v>
      </c>
      <c r="F570" s="10">
        <f t="shared" si="35"/>
        <v>45446</v>
      </c>
      <c r="G570">
        <f t="shared" si="33"/>
        <v>0</v>
      </c>
    </row>
    <row r="571" spans="1:7" x14ac:dyDescent="0.2">
      <c r="A571" s="7">
        <f t="shared" si="34"/>
        <v>45447</v>
      </c>
      <c r="B571">
        <f t="shared" si="32"/>
        <v>0</v>
      </c>
      <c r="F571" s="10">
        <f t="shared" si="35"/>
        <v>45447</v>
      </c>
      <c r="G571">
        <f t="shared" si="33"/>
        <v>0</v>
      </c>
    </row>
    <row r="572" spans="1:7" x14ac:dyDescent="0.2">
      <c r="A572" s="7">
        <f t="shared" si="34"/>
        <v>45448</v>
      </c>
      <c r="B572">
        <f t="shared" si="32"/>
        <v>0</v>
      </c>
      <c r="F572" s="10">
        <f t="shared" si="35"/>
        <v>45448</v>
      </c>
      <c r="G572">
        <f t="shared" si="33"/>
        <v>0</v>
      </c>
    </row>
    <row r="573" spans="1:7" x14ac:dyDescent="0.2">
      <c r="A573" s="7">
        <f t="shared" si="34"/>
        <v>45449</v>
      </c>
      <c r="B573">
        <f t="shared" si="32"/>
        <v>0</v>
      </c>
      <c r="F573" s="10">
        <f t="shared" si="35"/>
        <v>45449</v>
      </c>
      <c r="G573">
        <f t="shared" si="33"/>
        <v>0</v>
      </c>
    </row>
    <row r="574" spans="1:7" x14ac:dyDescent="0.2">
      <c r="A574" s="7">
        <f t="shared" si="34"/>
        <v>45450</v>
      </c>
      <c r="B574">
        <f t="shared" si="32"/>
        <v>0</v>
      </c>
      <c r="F574" s="10">
        <f t="shared" si="35"/>
        <v>45450</v>
      </c>
      <c r="G574">
        <f t="shared" si="33"/>
        <v>0</v>
      </c>
    </row>
    <row r="575" spans="1:7" x14ac:dyDescent="0.2">
      <c r="A575" s="7">
        <f t="shared" si="34"/>
        <v>45451</v>
      </c>
      <c r="B575">
        <f t="shared" si="32"/>
        <v>0</v>
      </c>
      <c r="F575" s="10">
        <f t="shared" si="35"/>
        <v>45451</v>
      </c>
      <c r="G575">
        <f t="shared" si="33"/>
        <v>0</v>
      </c>
    </row>
    <row r="576" spans="1:7" x14ac:dyDescent="0.2">
      <c r="A576" s="7">
        <f t="shared" si="34"/>
        <v>45452</v>
      </c>
      <c r="B576">
        <f t="shared" si="32"/>
        <v>0</v>
      </c>
      <c r="F576" s="10">
        <f t="shared" si="35"/>
        <v>45452</v>
      </c>
      <c r="G576">
        <f t="shared" si="33"/>
        <v>0</v>
      </c>
    </row>
    <row r="577" spans="1:7" x14ac:dyDescent="0.2">
      <c r="A577" s="7">
        <f t="shared" si="34"/>
        <v>45453</v>
      </c>
      <c r="B577">
        <f t="shared" si="32"/>
        <v>0</v>
      </c>
      <c r="F577" s="10">
        <f t="shared" si="35"/>
        <v>45453</v>
      </c>
      <c r="G577">
        <f t="shared" si="33"/>
        <v>0</v>
      </c>
    </row>
    <row r="578" spans="1:7" x14ac:dyDescent="0.2">
      <c r="A578" s="7">
        <f t="shared" si="34"/>
        <v>45454</v>
      </c>
      <c r="B578">
        <f t="shared" ref="B578:B641" si="36">IFERROR(VLOOKUP(A578,$C$2:$D$1000,2,FALSE),0)</f>
        <v>0</v>
      </c>
      <c r="F578" s="10">
        <f t="shared" si="35"/>
        <v>45454</v>
      </c>
      <c r="G578">
        <f t="shared" si="33"/>
        <v>0</v>
      </c>
    </row>
    <row r="579" spans="1:7" x14ac:dyDescent="0.2">
      <c r="A579" s="7">
        <f t="shared" si="34"/>
        <v>45455</v>
      </c>
      <c r="B579">
        <f t="shared" si="36"/>
        <v>0</v>
      </c>
      <c r="F579" s="10">
        <f t="shared" si="35"/>
        <v>45455</v>
      </c>
      <c r="G579">
        <f t="shared" ref="G579:G642" si="37">IFERROR(VLOOKUP(F579,$H$2:$I$1000,2,FALSE),0)</f>
        <v>0</v>
      </c>
    </row>
    <row r="580" spans="1:7" x14ac:dyDescent="0.2">
      <c r="A580" s="7">
        <f t="shared" ref="A580:A643" si="38">A579+1</f>
        <v>45456</v>
      </c>
      <c r="B580">
        <f t="shared" si="36"/>
        <v>1</v>
      </c>
      <c r="F580" s="10">
        <f t="shared" ref="F580:F643" si="39">F579+1</f>
        <v>45456</v>
      </c>
      <c r="G580">
        <f t="shared" si="37"/>
        <v>700</v>
      </c>
    </row>
    <row r="581" spans="1:7" x14ac:dyDescent="0.2">
      <c r="A581" s="7">
        <f t="shared" si="38"/>
        <v>45457</v>
      </c>
      <c r="B581">
        <f t="shared" si="36"/>
        <v>0</v>
      </c>
      <c r="F581" s="10">
        <f t="shared" si="39"/>
        <v>45457</v>
      </c>
      <c r="G581">
        <f t="shared" si="37"/>
        <v>0</v>
      </c>
    </row>
    <row r="582" spans="1:7" x14ac:dyDescent="0.2">
      <c r="A582" s="7">
        <f t="shared" si="38"/>
        <v>45458</v>
      </c>
      <c r="B582">
        <f t="shared" si="36"/>
        <v>0</v>
      </c>
      <c r="F582" s="10">
        <f t="shared" si="39"/>
        <v>45458</v>
      </c>
      <c r="G582">
        <f t="shared" si="37"/>
        <v>0</v>
      </c>
    </row>
    <row r="583" spans="1:7" x14ac:dyDescent="0.2">
      <c r="A583" s="7">
        <f t="shared" si="38"/>
        <v>45459</v>
      </c>
      <c r="B583">
        <f t="shared" si="36"/>
        <v>1</v>
      </c>
      <c r="F583" s="10">
        <f t="shared" si="39"/>
        <v>45459</v>
      </c>
      <c r="G583">
        <f t="shared" si="37"/>
        <v>300</v>
      </c>
    </row>
    <row r="584" spans="1:7" x14ac:dyDescent="0.2">
      <c r="A584" s="7">
        <f t="shared" si="38"/>
        <v>45460</v>
      </c>
      <c r="B584">
        <f t="shared" si="36"/>
        <v>0</v>
      </c>
      <c r="F584" s="10">
        <f t="shared" si="39"/>
        <v>45460</v>
      </c>
      <c r="G584">
        <f t="shared" si="37"/>
        <v>0</v>
      </c>
    </row>
    <row r="585" spans="1:7" x14ac:dyDescent="0.2">
      <c r="A585" s="7">
        <f t="shared" si="38"/>
        <v>45461</v>
      </c>
      <c r="B585">
        <f t="shared" si="36"/>
        <v>1</v>
      </c>
      <c r="F585" s="10">
        <f t="shared" si="39"/>
        <v>45461</v>
      </c>
      <c r="G585">
        <f t="shared" si="37"/>
        <v>450</v>
      </c>
    </row>
    <row r="586" spans="1:7" x14ac:dyDescent="0.2">
      <c r="A586" s="7">
        <f t="shared" si="38"/>
        <v>45462</v>
      </c>
      <c r="B586">
        <f t="shared" si="36"/>
        <v>0</v>
      </c>
      <c r="F586" s="10">
        <f t="shared" si="39"/>
        <v>45462</v>
      </c>
      <c r="G586">
        <f t="shared" si="37"/>
        <v>0</v>
      </c>
    </row>
    <row r="587" spans="1:7" x14ac:dyDescent="0.2">
      <c r="A587" s="7">
        <f t="shared" si="38"/>
        <v>45463</v>
      </c>
      <c r="B587">
        <f t="shared" si="36"/>
        <v>0</v>
      </c>
      <c r="F587" s="10">
        <f t="shared" si="39"/>
        <v>45463</v>
      </c>
      <c r="G587">
        <f t="shared" si="37"/>
        <v>0</v>
      </c>
    </row>
    <row r="588" spans="1:7" x14ac:dyDescent="0.2">
      <c r="A588" s="7">
        <f t="shared" si="38"/>
        <v>45464</v>
      </c>
      <c r="B588">
        <f t="shared" si="36"/>
        <v>0</v>
      </c>
      <c r="F588" s="10">
        <f t="shared" si="39"/>
        <v>45464</v>
      </c>
      <c r="G588">
        <f t="shared" si="37"/>
        <v>0</v>
      </c>
    </row>
    <row r="589" spans="1:7" x14ac:dyDescent="0.2">
      <c r="A589" s="7">
        <f t="shared" si="38"/>
        <v>45465</v>
      </c>
      <c r="B589">
        <f t="shared" si="36"/>
        <v>0</v>
      </c>
      <c r="F589" s="10">
        <f t="shared" si="39"/>
        <v>45465</v>
      </c>
      <c r="G589">
        <f t="shared" si="37"/>
        <v>0</v>
      </c>
    </row>
    <row r="590" spans="1:7" x14ac:dyDescent="0.2">
      <c r="A590" s="7">
        <f t="shared" si="38"/>
        <v>45466</v>
      </c>
      <c r="B590">
        <f t="shared" si="36"/>
        <v>1</v>
      </c>
      <c r="F590" s="10">
        <f t="shared" si="39"/>
        <v>45466</v>
      </c>
      <c r="G590">
        <f t="shared" si="37"/>
        <v>700</v>
      </c>
    </row>
    <row r="591" spans="1:7" x14ac:dyDescent="0.2">
      <c r="A591" s="7">
        <f t="shared" si="38"/>
        <v>45467</v>
      </c>
      <c r="B591">
        <f t="shared" si="36"/>
        <v>0</v>
      </c>
      <c r="F591" s="10">
        <f t="shared" si="39"/>
        <v>45467</v>
      </c>
      <c r="G591">
        <f t="shared" si="37"/>
        <v>0</v>
      </c>
    </row>
    <row r="592" spans="1:7" x14ac:dyDescent="0.2">
      <c r="A592" s="7">
        <f t="shared" si="38"/>
        <v>45468</v>
      </c>
      <c r="B592">
        <f t="shared" si="36"/>
        <v>0</v>
      </c>
      <c r="F592" s="10">
        <f t="shared" si="39"/>
        <v>45468</v>
      </c>
      <c r="G592">
        <f t="shared" si="37"/>
        <v>0</v>
      </c>
    </row>
    <row r="593" spans="1:7" x14ac:dyDescent="0.2">
      <c r="A593" s="7">
        <f t="shared" si="38"/>
        <v>45469</v>
      </c>
      <c r="B593">
        <f t="shared" si="36"/>
        <v>0</v>
      </c>
      <c r="F593" s="10">
        <f t="shared" si="39"/>
        <v>45469</v>
      </c>
      <c r="G593">
        <f t="shared" si="37"/>
        <v>0</v>
      </c>
    </row>
    <row r="594" spans="1:7" x14ac:dyDescent="0.2">
      <c r="A594" s="7">
        <f t="shared" si="38"/>
        <v>45470</v>
      </c>
      <c r="B594">
        <f t="shared" si="36"/>
        <v>1</v>
      </c>
      <c r="F594" s="10">
        <f t="shared" si="39"/>
        <v>45470</v>
      </c>
      <c r="G594">
        <f t="shared" si="37"/>
        <v>300</v>
      </c>
    </row>
    <row r="595" spans="1:7" x14ac:dyDescent="0.2">
      <c r="A595" s="7">
        <f t="shared" si="38"/>
        <v>45471</v>
      </c>
      <c r="B595">
        <f t="shared" si="36"/>
        <v>1</v>
      </c>
      <c r="F595" s="10">
        <f t="shared" si="39"/>
        <v>45471</v>
      </c>
      <c r="G595">
        <f t="shared" si="37"/>
        <v>450</v>
      </c>
    </row>
    <row r="596" spans="1:7" x14ac:dyDescent="0.2">
      <c r="A596" s="7">
        <f t="shared" si="38"/>
        <v>45472</v>
      </c>
      <c r="B596">
        <f t="shared" si="36"/>
        <v>0</v>
      </c>
      <c r="F596" s="10">
        <f t="shared" si="39"/>
        <v>45472</v>
      </c>
      <c r="G596">
        <f t="shared" si="37"/>
        <v>0</v>
      </c>
    </row>
    <row r="597" spans="1:7" x14ac:dyDescent="0.2">
      <c r="A597" s="7">
        <f t="shared" si="38"/>
        <v>45473</v>
      </c>
      <c r="B597">
        <f t="shared" si="36"/>
        <v>0</v>
      </c>
      <c r="F597" s="10">
        <f t="shared" si="39"/>
        <v>45473</v>
      </c>
      <c r="G597">
        <f t="shared" si="37"/>
        <v>0</v>
      </c>
    </row>
    <row r="598" spans="1:7" x14ac:dyDescent="0.2">
      <c r="A598" s="7">
        <f t="shared" si="38"/>
        <v>45474</v>
      </c>
      <c r="B598">
        <f t="shared" si="36"/>
        <v>1</v>
      </c>
      <c r="F598" s="10">
        <f t="shared" si="39"/>
        <v>45474</v>
      </c>
      <c r="G598">
        <f t="shared" si="37"/>
        <v>700</v>
      </c>
    </row>
    <row r="599" spans="1:7" x14ac:dyDescent="0.2">
      <c r="A599" s="7">
        <f t="shared" si="38"/>
        <v>45475</v>
      </c>
      <c r="B599">
        <f t="shared" si="36"/>
        <v>0</v>
      </c>
      <c r="F599" s="10">
        <f t="shared" si="39"/>
        <v>45475</v>
      </c>
      <c r="G599">
        <f t="shared" si="37"/>
        <v>0</v>
      </c>
    </row>
    <row r="600" spans="1:7" x14ac:dyDescent="0.2">
      <c r="A600" s="7">
        <f t="shared" si="38"/>
        <v>45476</v>
      </c>
      <c r="B600">
        <f t="shared" si="36"/>
        <v>1</v>
      </c>
      <c r="F600" s="10">
        <f t="shared" si="39"/>
        <v>45476</v>
      </c>
      <c r="G600">
        <f t="shared" si="37"/>
        <v>300</v>
      </c>
    </row>
    <row r="601" spans="1:7" x14ac:dyDescent="0.2">
      <c r="A601" s="7">
        <f t="shared" si="38"/>
        <v>45477</v>
      </c>
      <c r="B601">
        <f t="shared" si="36"/>
        <v>0</v>
      </c>
      <c r="F601" s="10">
        <f t="shared" si="39"/>
        <v>45477</v>
      </c>
      <c r="G601">
        <f t="shared" si="37"/>
        <v>0</v>
      </c>
    </row>
    <row r="602" spans="1:7" x14ac:dyDescent="0.2">
      <c r="A602" s="7">
        <f t="shared" si="38"/>
        <v>45478</v>
      </c>
      <c r="B602">
        <f t="shared" si="36"/>
        <v>0</v>
      </c>
      <c r="F602" s="10">
        <f t="shared" si="39"/>
        <v>45478</v>
      </c>
      <c r="G602">
        <f t="shared" si="37"/>
        <v>0</v>
      </c>
    </row>
    <row r="603" spans="1:7" x14ac:dyDescent="0.2">
      <c r="A603" s="7">
        <f t="shared" si="38"/>
        <v>45479</v>
      </c>
      <c r="B603">
        <f t="shared" si="36"/>
        <v>0</v>
      </c>
      <c r="F603" s="10">
        <f t="shared" si="39"/>
        <v>45479</v>
      </c>
      <c r="G603">
        <f t="shared" si="37"/>
        <v>0</v>
      </c>
    </row>
    <row r="604" spans="1:7" x14ac:dyDescent="0.2">
      <c r="A604" s="7">
        <f t="shared" si="38"/>
        <v>45480</v>
      </c>
      <c r="B604">
        <f t="shared" si="36"/>
        <v>0</v>
      </c>
      <c r="F604" s="10">
        <f t="shared" si="39"/>
        <v>45480</v>
      </c>
      <c r="G604">
        <f t="shared" si="37"/>
        <v>0</v>
      </c>
    </row>
    <row r="605" spans="1:7" x14ac:dyDescent="0.2">
      <c r="A605" s="7">
        <f t="shared" si="38"/>
        <v>45481</v>
      </c>
      <c r="B605">
        <f t="shared" si="36"/>
        <v>0</v>
      </c>
      <c r="F605" s="10">
        <f t="shared" si="39"/>
        <v>45481</v>
      </c>
      <c r="G605">
        <f t="shared" si="37"/>
        <v>0</v>
      </c>
    </row>
    <row r="606" spans="1:7" x14ac:dyDescent="0.2">
      <c r="A606" s="7">
        <f t="shared" si="38"/>
        <v>45482</v>
      </c>
      <c r="B606">
        <f t="shared" si="36"/>
        <v>0</v>
      </c>
      <c r="F606" s="10">
        <f t="shared" si="39"/>
        <v>45482</v>
      </c>
      <c r="G606">
        <f t="shared" si="37"/>
        <v>0</v>
      </c>
    </row>
    <row r="607" spans="1:7" x14ac:dyDescent="0.2">
      <c r="A607" s="7">
        <f t="shared" si="38"/>
        <v>45483</v>
      </c>
      <c r="B607">
        <f t="shared" si="36"/>
        <v>0</v>
      </c>
      <c r="F607" s="10">
        <f t="shared" si="39"/>
        <v>45483</v>
      </c>
      <c r="G607">
        <f t="shared" si="37"/>
        <v>0</v>
      </c>
    </row>
    <row r="608" spans="1:7" x14ac:dyDescent="0.2">
      <c r="A608" s="7">
        <f t="shared" si="38"/>
        <v>45484</v>
      </c>
      <c r="B608">
        <f t="shared" si="36"/>
        <v>1</v>
      </c>
      <c r="F608" s="10">
        <f t="shared" si="39"/>
        <v>45484</v>
      </c>
      <c r="G608">
        <f t="shared" si="37"/>
        <v>450</v>
      </c>
    </row>
    <row r="609" spans="1:7" x14ac:dyDescent="0.2">
      <c r="A609" s="7">
        <f t="shared" si="38"/>
        <v>45485</v>
      </c>
      <c r="B609">
        <f t="shared" si="36"/>
        <v>0</v>
      </c>
      <c r="F609" s="10">
        <f t="shared" si="39"/>
        <v>45485</v>
      </c>
      <c r="G609">
        <f t="shared" si="37"/>
        <v>0</v>
      </c>
    </row>
    <row r="610" spans="1:7" x14ac:dyDescent="0.2">
      <c r="A610" s="7">
        <f t="shared" si="38"/>
        <v>45486</v>
      </c>
      <c r="B610">
        <f t="shared" si="36"/>
        <v>0</v>
      </c>
      <c r="F610" s="10">
        <f t="shared" si="39"/>
        <v>45486</v>
      </c>
      <c r="G610">
        <f t="shared" si="37"/>
        <v>0</v>
      </c>
    </row>
    <row r="611" spans="1:7" x14ac:dyDescent="0.2">
      <c r="A611" s="7">
        <f t="shared" si="38"/>
        <v>45487</v>
      </c>
      <c r="B611">
        <f t="shared" si="36"/>
        <v>0</v>
      </c>
      <c r="F611" s="10">
        <f t="shared" si="39"/>
        <v>45487</v>
      </c>
      <c r="G611">
        <f t="shared" si="37"/>
        <v>0</v>
      </c>
    </row>
    <row r="612" spans="1:7" x14ac:dyDescent="0.2">
      <c r="A612" s="7">
        <f t="shared" si="38"/>
        <v>45488</v>
      </c>
      <c r="B612">
        <f t="shared" si="36"/>
        <v>0</v>
      </c>
      <c r="F612" s="10">
        <f t="shared" si="39"/>
        <v>45488</v>
      </c>
      <c r="G612">
        <f t="shared" si="37"/>
        <v>0</v>
      </c>
    </row>
    <row r="613" spans="1:7" x14ac:dyDescent="0.2">
      <c r="A613" s="7">
        <f t="shared" si="38"/>
        <v>45489</v>
      </c>
      <c r="B613">
        <f t="shared" si="36"/>
        <v>0</v>
      </c>
      <c r="F613" s="10">
        <f t="shared" si="39"/>
        <v>45489</v>
      </c>
      <c r="G613">
        <f t="shared" si="37"/>
        <v>0</v>
      </c>
    </row>
    <row r="614" spans="1:7" x14ac:dyDescent="0.2">
      <c r="A614" s="7">
        <f t="shared" si="38"/>
        <v>45490</v>
      </c>
      <c r="B614">
        <f t="shared" si="36"/>
        <v>0</v>
      </c>
      <c r="F614" s="10">
        <f t="shared" si="39"/>
        <v>45490</v>
      </c>
      <c r="G614">
        <f t="shared" si="37"/>
        <v>0</v>
      </c>
    </row>
    <row r="615" spans="1:7" x14ac:dyDescent="0.2">
      <c r="A615" s="7">
        <f t="shared" si="38"/>
        <v>45491</v>
      </c>
      <c r="B615">
        <f t="shared" si="36"/>
        <v>0</v>
      </c>
      <c r="F615" s="10">
        <f t="shared" si="39"/>
        <v>45491</v>
      </c>
      <c r="G615">
        <f t="shared" si="37"/>
        <v>0</v>
      </c>
    </row>
    <row r="616" spans="1:7" x14ac:dyDescent="0.2">
      <c r="A616" s="7">
        <f t="shared" si="38"/>
        <v>45492</v>
      </c>
      <c r="B616">
        <f t="shared" si="36"/>
        <v>0</v>
      </c>
      <c r="F616" s="10">
        <f t="shared" si="39"/>
        <v>45492</v>
      </c>
      <c r="G616">
        <f t="shared" si="37"/>
        <v>0</v>
      </c>
    </row>
    <row r="617" spans="1:7" x14ac:dyDescent="0.2">
      <c r="A617" s="7">
        <f t="shared" si="38"/>
        <v>45493</v>
      </c>
      <c r="B617">
        <f t="shared" si="36"/>
        <v>0</v>
      </c>
      <c r="F617" s="10">
        <f t="shared" si="39"/>
        <v>45493</v>
      </c>
      <c r="G617">
        <f t="shared" si="37"/>
        <v>0</v>
      </c>
    </row>
    <row r="618" spans="1:7" x14ac:dyDescent="0.2">
      <c r="A618" s="7">
        <f t="shared" si="38"/>
        <v>45494</v>
      </c>
      <c r="B618">
        <f t="shared" si="36"/>
        <v>0</v>
      </c>
      <c r="F618" s="10">
        <f t="shared" si="39"/>
        <v>45494</v>
      </c>
      <c r="G618">
        <f t="shared" si="37"/>
        <v>0</v>
      </c>
    </row>
    <row r="619" spans="1:7" x14ac:dyDescent="0.2">
      <c r="A619" s="7">
        <f t="shared" si="38"/>
        <v>45495</v>
      </c>
      <c r="B619">
        <f t="shared" si="36"/>
        <v>0</v>
      </c>
      <c r="F619" s="10">
        <f t="shared" si="39"/>
        <v>45495</v>
      </c>
      <c r="G619">
        <f t="shared" si="37"/>
        <v>0</v>
      </c>
    </row>
    <row r="620" spans="1:7" x14ac:dyDescent="0.2">
      <c r="A620" s="7">
        <f t="shared" si="38"/>
        <v>45496</v>
      </c>
      <c r="B620">
        <f t="shared" si="36"/>
        <v>0</v>
      </c>
      <c r="F620" s="10">
        <f t="shared" si="39"/>
        <v>45496</v>
      </c>
      <c r="G620">
        <f t="shared" si="37"/>
        <v>0</v>
      </c>
    </row>
    <row r="621" spans="1:7" x14ac:dyDescent="0.2">
      <c r="A621" s="7">
        <f t="shared" si="38"/>
        <v>45497</v>
      </c>
      <c r="B621">
        <f t="shared" si="36"/>
        <v>0</v>
      </c>
      <c r="F621" s="10">
        <f t="shared" si="39"/>
        <v>45497</v>
      </c>
      <c r="G621">
        <f t="shared" si="37"/>
        <v>0</v>
      </c>
    </row>
    <row r="622" spans="1:7" x14ac:dyDescent="0.2">
      <c r="A622" s="7">
        <f t="shared" si="38"/>
        <v>45498</v>
      </c>
      <c r="B622">
        <f t="shared" si="36"/>
        <v>0</v>
      </c>
      <c r="F622" s="10">
        <f t="shared" si="39"/>
        <v>45498</v>
      </c>
      <c r="G622">
        <f t="shared" si="37"/>
        <v>0</v>
      </c>
    </row>
    <row r="623" spans="1:7" x14ac:dyDescent="0.2">
      <c r="A623" s="7">
        <f t="shared" si="38"/>
        <v>45499</v>
      </c>
      <c r="B623">
        <f t="shared" si="36"/>
        <v>0</v>
      </c>
      <c r="F623" s="10">
        <f t="shared" si="39"/>
        <v>45499</v>
      </c>
      <c r="G623">
        <f t="shared" si="37"/>
        <v>0</v>
      </c>
    </row>
    <row r="624" spans="1:7" x14ac:dyDescent="0.2">
      <c r="A624" s="7">
        <f t="shared" si="38"/>
        <v>45500</v>
      </c>
      <c r="B624">
        <f t="shared" si="36"/>
        <v>0</v>
      </c>
      <c r="F624" s="10">
        <f t="shared" si="39"/>
        <v>45500</v>
      </c>
      <c r="G624">
        <f t="shared" si="37"/>
        <v>0</v>
      </c>
    </row>
    <row r="625" spans="1:7" x14ac:dyDescent="0.2">
      <c r="A625" s="7">
        <f t="shared" si="38"/>
        <v>45501</v>
      </c>
      <c r="B625">
        <f t="shared" si="36"/>
        <v>0</v>
      </c>
      <c r="F625" s="10">
        <f t="shared" si="39"/>
        <v>45501</v>
      </c>
      <c r="G625">
        <f t="shared" si="37"/>
        <v>0</v>
      </c>
    </row>
    <row r="626" spans="1:7" x14ac:dyDescent="0.2">
      <c r="A626" s="7">
        <f t="shared" si="38"/>
        <v>45502</v>
      </c>
      <c r="B626">
        <f t="shared" si="36"/>
        <v>0</v>
      </c>
      <c r="F626" s="10">
        <f t="shared" si="39"/>
        <v>45502</v>
      </c>
      <c r="G626">
        <f t="shared" si="37"/>
        <v>0</v>
      </c>
    </row>
    <row r="627" spans="1:7" x14ac:dyDescent="0.2">
      <c r="A627" s="7">
        <f t="shared" si="38"/>
        <v>45503</v>
      </c>
      <c r="B627">
        <f t="shared" si="36"/>
        <v>0</v>
      </c>
      <c r="F627" s="10">
        <f t="shared" si="39"/>
        <v>45503</v>
      </c>
      <c r="G627">
        <f t="shared" si="37"/>
        <v>0</v>
      </c>
    </row>
    <row r="628" spans="1:7" x14ac:dyDescent="0.2">
      <c r="A628" s="7">
        <f t="shared" si="38"/>
        <v>45504</v>
      </c>
      <c r="B628">
        <f t="shared" si="36"/>
        <v>0</v>
      </c>
      <c r="F628" s="10">
        <f t="shared" si="39"/>
        <v>45504</v>
      </c>
      <c r="G628">
        <f t="shared" si="37"/>
        <v>0</v>
      </c>
    </row>
    <row r="629" spans="1:7" x14ac:dyDescent="0.2">
      <c r="A629" s="7">
        <f t="shared" si="38"/>
        <v>45505</v>
      </c>
      <c r="B629">
        <f t="shared" si="36"/>
        <v>0</v>
      </c>
      <c r="F629" s="10">
        <f t="shared" si="39"/>
        <v>45505</v>
      </c>
      <c r="G629">
        <f t="shared" si="37"/>
        <v>0</v>
      </c>
    </row>
    <row r="630" spans="1:7" x14ac:dyDescent="0.2">
      <c r="A630" s="7">
        <f t="shared" si="38"/>
        <v>45506</v>
      </c>
      <c r="B630">
        <f t="shared" si="36"/>
        <v>1</v>
      </c>
      <c r="F630" s="10">
        <f t="shared" si="39"/>
        <v>45506</v>
      </c>
      <c r="G630">
        <f t="shared" si="37"/>
        <v>700</v>
      </c>
    </row>
    <row r="631" spans="1:7" x14ac:dyDescent="0.2">
      <c r="A631" s="7">
        <f t="shared" si="38"/>
        <v>45507</v>
      </c>
      <c r="B631">
        <f t="shared" si="36"/>
        <v>0</v>
      </c>
      <c r="F631" s="10">
        <f t="shared" si="39"/>
        <v>45507</v>
      </c>
      <c r="G631">
        <f t="shared" si="37"/>
        <v>0</v>
      </c>
    </row>
    <row r="632" spans="1:7" x14ac:dyDescent="0.2">
      <c r="A632" s="7">
        <f t="shared" si="38"/>
        <v>45508</v>
      </c>
      <c r="B632">
        <f t="shared" si="36"/>
        <v>0</v>
      </c>
      <c r="F632" s="10">
        <f t="shared" si="39"/>
        <v>45508</v>
      </c>
      <c r="G632">
        <f t="shared" si="37"/>
        <v>0</v>
      </c>
    </row>
    <row r="633" spans="1:7" x14ac:dyDescent="0.2">
      <c r="A633" s="7">
        <f t="shared" si="38"/>
        <v>45509</v>
      </c>
      <c r="B633">
        <f t="shared" si="36"/>
        <v>0</v>
      </c>
      <c r="F633" s="10">
        <f t="shared" si="39"/>
        <v>45509</v>
      </c>
      <c r="G633">
        <f t="shared" si="37"/>
        <v>0</v>
      </c>
    </row>
    <row r="634" spans="1:7" x14ac:dyDescent="0.2">
      <c r="A634" s="7">
        <f t="shared" si="38"/>
        <v>45510</v>
      </c>
      <c r="B634">
        <f t="shared" si="36"/>
        <v>0</v>
      </c>
      <c r="F634" s="10">
        <f t="shared" si="39"/>
        <v>45510</v>
      </c>
      <c r="G634">
        <f t="shared" si="37"/>
        <v>0</v>
      </c>
    </row>
    <row r="635" spans="1:7" x14ac:dyDescent="0.2">
      <c r="A635" s="7">
        <f t="shared" si="38"/>
        <v>45511</v>
      </c>
      <c r="B635">
        <f t="shared" si="36"/>
        <v>0</v>
      </c>
      <c r="F635" s="10">
        <f t="shared" si="39"/>
        <v>45511</v>
      </c>
      <c r="G635">
        <f t="shared" si="37"/>
        <v>0</v>
      </c>
    </row>
    <row r="636" spans="1:7" x14ac:dyDescent="0.2">
      <c r="A636" s="7">
        <f t="shared" si="38"/>
        <v>45512</v>
      </c>
      <c r="B636">
        <f t="shared" si="36"/>
        <v>0</v>
      </c>
      <c r="F636" s="10">
        <f t="shared" si="39"/>
        <v>45512</v>
      </c>
      <c r="G636">
        <f t="shared" si="37"/>
        <v>0</v>
      </c>
    </row>
    <row r="637" spans="1:7" x14ac:dyDescent="0.2">
      <c r="A637" s="7">
        <f t="shared" si="38"/>
        <v>45513</v>
      </c>
      <c r="B637">
        <f t="shared" si="36"/>
        <v>1</v>
      </c>
      <c r="F637" s="10">
        <f t="shared" si="39"/>
        <v>45513</v>
      </c>
      <c r="G637">
        <f t="shared" si="37"/>
        <v>300</v>
      </c>
    </row>
    <row r="638" spans="1:7" x14ac:dyDescent="0.2">
      <c r="A638" s="7">
        <f t="shared" si="38"/>
        <v>45514</v>
      </c>
      <c r="B638">
        <f t="shared" si="36"/>
        <v>0</v>
      </c>
      <c r="F638" s="10">
        <f t="shared" si="39"/>
        <v>45514</v>
      </c>
      <c r="G638">
        <f t="shared" si="37"/>
        <v>0</v>
      </c>
    </row>
    <row r="639" spans="1:7" x14ac:dyDescent="0.2">
      <c r="A639" s="7">
        <f t="shared" si="38"/>
        <v>45515</v>
      </c>
      <c r="B639">
        <f t="shared" si="36"/>
        <v>0</v>
      </c>
      <c r="F639" s="10">
        <f t="shared" si="39"/>
        <v>45515</v>
      </c>
      <c r="G639">
        <f t="shared" si="37"/>
        <v>0</v>
      </c>
    </row>
    <row r="640" spans="1:7" x14ac:dyDescent="0.2">
      <c r="A640" s="7">
        <f t="shared" si="38"/>
        <v>45516</v>
      </c>
      <c r="B640">
        <f t="shared" si="36"/>
        <v>0</v>
      </c>
      <c r="F640" s="10">
        <f t="shared" si="39"/>
        <v>45516</v>
      </c>
      <c r="G640">
        <f t="shared" si="37"/>
        <v>0</v>
      </c>
    </row>
    <row r="641" spans="1:7" x14ac:dyDescent="0.2">
      <c r="A641" s="7">
        <f t="shared" si="38"/>
        <v>45517</v>
      </c>
      <c r="B641">
        <f t="shared" si="36"/>
        <v>0</v>
      </c>
      <c r="F641" s="10">
        <f t="shared" si="39"/>
        <v>45517</v>
      </c>
      <c r="G641">
        <f t="shared" si="37"/>
        <v>0</v>
      </c>
    </row>
    <row r="642" spans="1:7" x14ac:dyDescent="0.2">
      <c r="A642" s="7">
        <f t="shared" si="38"/>
        <v>45518</v>
      </c>
      <c r="B642">
        <f t="shared" ref="B642:B705" si="40">IFERROR(VLOOKUP(A642,$C$2:$D$1000,2,FALSE),0)</f>
        <v>1</v>
      </c>
      <c r="F642" s="10">
        <f t="shared" si="39"/>
        <v>45518</v>
      </c>
      <c r="G642">
        <f t="shared" si="37"/>
        <v>450</v>
      </c>
    </row>
    <row r="643" spans="1:7" x14ac:dyDescent="0.2">
      <c r="A643" s="7">
        <f t="shared" si="38"/>
        <v>45519</v>
      </c>
      <c r="B643">
        <f t="shared" si="40"/>
        <v>0</v>
      </c>
      <c r="F643" s="10">
        <f t="shared" si="39"/>
        <v>45519</v>
      </c>
      <c r="G643">
        <f t="shared" ref="G643:G706" si="41">IFERROR(VLOOKUP(F643,$H$2:$I$1000,2,FALSE),0)</f>
        <v>0</v>
      </c>
    </row>
    <row r="644" spans="1:7" x14ac:dyDescent="0.2">
      <c r="A644" s="7">
        <f t="shared" ref="A644:A707" si="42">A643+1</f>
        <v>45520</v>
      </c>
      <c r="B644">
        <f t="shared" si="40"/>
        <v>0</v>
      </c>
      <c r="F644" s="10">
        <f t="shared" ref="F644:F707" si="43">F643+1</f>
        <v>45520</v>
      </c>
      <c r="G644">
        <f t="shared" si="41"/>
        <v>0</v>
      </c>
    </row>
    <row r="645" spans="1:7" x14ac:dyDescent="0.2">
      <c r="A645" s="7">
        <f t="shared" si="42"/>
        <v>45521</v>
      </c>
      <c r="B645">
        <f t="shared" si="40"/>
        <v>0</v>
      </c>
      <c r="F645" s="10">
        <f t="shared" si="43"/>
        <v>45521</v>
      </c>
      <c r="G645">
        <f t="shared" si="41"/>
        <v>0</v>
      </c>
    </row>
    <row r="646" spans="1:7" x14ac:dyDescent="0.2">
      <c r="A646" s="7">
        <f t="shared" si="42"/>
        <v>45522</v>
      </c>
      <c r="B646">
        <f t="shared" si="40"/>
        <v>0</v>
      </c>
      <c r="F646" s="10">
        <f t="shared" si="43"/>
        <v>45522</v>
      </c>
      <c r="G646">
        <f t="shared" si="41"/>
        <v>0</v>
      </c>
    </row>
    <row r="647" spans="1:7" x14ac:dyDescent="0.2">
      <c r="A647" s="7">
        <f t="shared" si="42"/>
        <v>45523</v>
      </c>
      <c r="B647">
        <f t="shared" si="40"/>
        <v>0</v>
      </c>
      <c r="F647" s="10">
        <f t="shared" si="43"/>
        <v>45523</v>
      </c>
      <c r="G647">
        <f t="shared" si="41"/>
        <v>0</v>
      </c>
    </row>
    <row r="648" spans="1:7" x14ac:dyDescent="0.2">
      <c r="A648" s="7">
        <f t="shared" si="42"/>
        <v>45524</v>
      </c>
      <c r="B648">
        <f t="shared" si="40"/>
        <v>0</v>
      </c>
      <c r="F648" s="10">
        <f t="shared" si="43"/>
        <v>45524</v>
      </c>
      <c r="G648">
        <f t="shared" si="41"/>
        <v>0</v>
      </c>
    </row>
    <row r="649" spans="1:7" x14ac:dyDescent="0.2">
      <c r="A649" s="7">
        <f t="shared" si="42"/>
        <v>45525</v>
      </c>
      <c r="B649">
        <f t="shared" si="40"/>
        <v>0</v>
      </c>
      <c r="F649" s="10">
        <f t="shared" si="43"/>
        <v>45525</v>
      </c>
      <c r="G649">
        <f t="shared" si="41"/>
        <v>0</v>
      </c>
    </row>
    <row r="650" spans="1:7" x14ac:dyDescent="0.2">
      <c r="A650" s="7">
        <f t="shared" si="42"/>
        <v>45526</v>
      </c>
      <c r="B650">
        <f t="shared" si="40"/>
        <v>1</v>
      </c>
      <c r="F650" s="10">
        <f t="shared" si="43"/>
        <v>45526</v>
      </c>
      <c r="G650">
        <f t="shared" si="41"/>
        <v>700</v>
      </c>
    </row>
    <row r="651" spans="1:7" x14ac:dyDescent="0.2">
      <c r="A651" s="7">
        <f t="shared" si="42"/>
        <v>45527</v>
      </c>
      <c r="B651">
        <f t="shared" si="40"/>
        <v>0</v>
      </c>
      <c r="F651" s="10">
        <f t="shared" si="43"/>
        <v>45527</v>
      </c>
      <c r="G651">
        <f t="shared" si="41"/>
        <v>0</v>
      </c>
    </row>
    <row r="652" spans="1:7" x14ac:dyDescent="0.2">
      <c r="A652" s="7">
        <f t="shared" si="42"/>
        <v>45528</v>
      </c>
      <c r="B652">
        <f t="shared" si="40"/>
        <v>0</v>
      </c>
      <c r="F652" s="10">
        <f t="shared" si="43"/>
        <v>45528</v>
      </c>
      <c r="G652">
        <f t="shared" si="41"/>
        <v>0</v>
      </c>
    </row>
    <row r="653" spans="1:7" x14ac:dyDescent="0.2">
      <c r="A653" s="7">
        <f t="shared" si="42"/>
        <v>45529</v>
      </c>
      <c r="B653">
        <f t="shared" si="40"/>
        <v>0</v>
      </c>
      <c r="F653" s="10">
        <f t="shared" si="43"/>
        <v>45529</v>
      </c>
      <c r="G653">
        <f t="shared" si="41"/>
        <v>0</v>
      </c>
    </row>
    <row r="654" spans="1:7" x14ac:dyDescent="0.2">
      <c r="A654" s="7">
        <f t="shared" si="42"/>
        <v>45530</v>
      </c>
      <c r="B654">
        <f t="shared" si="40"/>
        <v>1</v>
      </c>
      <c r="F654" s="10">
        <f t="shared" si="43"/>
        <v>45530</v>
      </c>
      <c r="G654">
        <f t="shared" si="41"/>
        <v>300</v>
      </c>
    </row>
    <row r="655" spans="1:7" x14ac:dyDescent="0.2">
      <c r="A655" s="7">
        <f t="shared" si="42"/>
        <v>45531</v>
      </c>
      <c r="B655">
        <f t="shared" si="40"/>
        <v>0</v>
      </c>
      <c r="F655" s="10">
        <f t="shared" si="43"/>
        <v>45531</v>
      </c>
      <c r="G655">
        <f t="shared" si="41"/>
        <v>0</v>
      </c>
    </row>
    <row r="656" spans="1:7" x14ac:dyDescent="0.2">
      <c r="A656" s="7">
        <f t="shared" si="42"/>
        <v>45532</v>
      </c>
      <c r="B656">
        <f t="shared" si="40"/>
        <v>0</v>
      </c>
      <c r="F656" s="10">
        <f t="shared" si="43"/>
        <v>45532</v>
      </c>
      <c r="G656">
        <f t="shared" si="41"/>
        <v>0</v>
      </c>
    </row>
    <row r="657" spans="1:7" x14ac:dyDescent="0.2">
      <c r="A657" s="7">
        <f t="shared" si="42"/>
        <v>45533</v>
      </c>
      <c r="B657">
        <f t="shared" si="40"/>
        <v>1</v>
      </c>
      <c r="F657" s="10">
        <f t="shared" si="43"/>
        <v>45533</v>
      </c>
      <c r="G657">
        <f t="shared" si="41"/>
        <v>450</v>
      </c>
    </row>
    <row r="658" spans="1:7" x14ac:dyDescent="0.2">
      <c r="A658" s="7">
        <f t="shared" si="42"/>
        <v>45534</v>
      </c>
      <c r="B658">
        <f t="shared" si="40"/>
        <v>1</v>
      </c>
      <c r="F658" s="10">
        <f t="shared" si="43"/>
        <v>45534</v>
      </c>
      <c r="G658">
        <f t="shared" si="41"/>
        <v>700</v>
      </c>
    </row>
    <row r="659" spans="1:7" x14ac:dyDescent="0.2">
      <c r="A659" s="7">
        <f t="shared" si="42"/>
        <v>45535</v>
      </c>
      <c r="B659">
        <f t="shared" si="40"/>
        <v>0</v>
      </c>
      <c r="F659" s="10">
        <f t="shared" si="43"/>
        <v>45535</v>
      </c>
      <c r="G659">
        <f t="shared" si="41"/>
        <v>0</v>
      </c>
    </row>
    <row r="660" spans="1:7" x14ac:dyDescent="0.2">
      <c r="A660" s="7">
        <f t="shared" si="42"/>
        <v>45536</v>
      </c>
      <c r="B660">
        <f t="shared" si="40"/>
        <v>0</v>
      </c>
      <c r="F660" s="10">
        <f t="shared" si="43"/>
        <v>45536</v>
      </c>
      <c r="G660">
        <f t="shared" si="41"/>
        <v>0</v>
      </c>
    </row>
    <row r="661" spans="1:7" x14ac:dyDescent="0.2">
      <c r="A661" s="7">
        <f t="shared" si="42"/>
        <v>45537</v>
      </c>
      <c r="B661">
        <f t="shared" si="40"/>
        <v>0</v>
      </c>
      <c r="F661" s="10">
        <f t="shared" si="43"/>
        <v>45537</v>
      </c>
      <c r="G661">
        <f t="shared" si="41"/>
        <v>0</v>
      </c>
    </row>
    <row r="662" spans="1:7" x14ac:dyDescent="0.2">
      <c r="A662" s="7">
        <f t="shared" si="42"/>
        <v>45538</v>
      </c>
      <c r="B662">
        <f t="shared" si="40"/>
        <v>0</v>
      </c>
      <c r="F662" s="10">
        <f t="shared" si="43"/>
        <v>45538</v>
      </c>
      <c r="G662">
        <f t="shared" si="41"/>
        <v>0</v>
      </c>
    </row>
    <row r="663" spans="1:7" x14ac:dyDescent="0.2">
      <c r="A663" s="7">
        <f t="shared" si="42"/>
        <v>45539</v>
      </c>
      <c r="B663">
        <f t="shared" si="40"/>
        <v>0</v>
      </c>
      <c r="F663" s="10">
        <f t="shared" si="43"/>
        <v>45539</v>
      </c>
      <c r="G663">
        <f t="shared" si="41"/>
        <v>0</v>
      </c>
    </row>
    <row r="664" spans="1:7" x14ac:dyDescent="0.2">
      <c r="A664" s="7">
        <f t="shared" si="42"/>
        <v>45540</v>
      </c>
      <c r="B664">
        <f t="shared" si="40"/>
        <v>0</v>
      </c>
      <c r="F664" s="10">
        <f t="shared" si="43"/>
        <v>45540</v>
      </c>
      <c r="G664">
        <f t="shared" si="41"/>
        <v>0</v>
      </c>
    </row>
    <row r="665" spans="1:7" x14ac:dyDescent="0.2">
      <c r="A665" s="7">
        <f t="shared" si="42"/>
        <v>45541</v>
      </c>
      <c r="B665">
        <f t="shared" si="40"/>
        <v>0</v>
      </c>
      <c r="F665" s="10">
        <f t="shared" si="43"/>
        <v>45541</v>
      </c>
      <c r="G665">
        <f t="shared" si="41"/>
        <v>0</v>
      </c>
    </row>
    <row r="666" spans="1:7" x14ac:dyDescent="0.2">
      <c r="A666" s="7">
        <f t="shared" si="42"/>
        <v>45542</v>
      </c>
      <c r="B666">
        <f t="shared" si="40"/>
        <v>0</v>
      </c>
      <c r="F666" s="10">
        <f t="shared" si="43"/>
        <v>45542</v>
      </c>
      <c r="G666">
        <f t="shared" si="41"/>
        <v>0</v>
      </c>
    </row>
    <row r="667" spans="1:7" x14ac:dyDescent="0.2">
      <c r="A667" s="7">
        <f t="shared" si="42"/>
        <v>45543</v>
      </c>
      <c r="B667">
        <f t="shared" si="40"/>
        <v>0</v>
      </c>
      <c r="F667" s="10">
        <f t="shared" si="43"/>
        <v>45543</v>
      </c>
      <c r="G667">
        <f t="shared" si="41"/>
        <v>0</v>
      </c>
    </row>
    <row r="668" spans="1:7" x14ac:dyDescent="0.2">
      <c r="A668" s="7">
        <f t="shared" si="42"/>
        <v>45544</v>
      </c>
      <c r="B668">
        <f t="shared" si="40"/>
        <v>0</v>
      </c>
      <c r="F668" s="10">
        <f t="shared" si="43"/>
        <v>45544</v>
      </c>
      <c r="G668">
        <f t="shared" si="41"/>
        <v>0</v>
      </c>
    </row>
    <row r="669" spans="1:7" x14ac:dyDescent="0.2">
      <c r="A669" s="7">
        <f t="shared" si="42"/>
        <v>45545</v>
      </c>
      <c r="B669">
        <f t="shared" si="40"/>
        <v>0</v>
      </c>
      <c r="F669" s="10">
        <f t="shared" si="43"/>
        <v>45545</v>
      </c>
      <c r="G669">
        <f t="shared" si="41"/>
        <v>0</v>
      </c>
    </row>
    <row r="670" spans="1:7" x14ac:dyDescent="0.2">
      <c r="A670" s="7">
        <f t="shared" si="42"/>
        <v>45546</v>
      </c>
      <c r="B670">
        <f t="shared" si="40"/>
        <v>0</v>
      </c>
      <c r="F670" s="10">
        <f t="shared" si="43"/>
        <v>45546</v>
      </c>
      <c r="G670">
        <f t="shared" si="41"/>
        <v>0</v>
      </c>
    </row>
    <row r="671" spans="1:7" x14ac:dyDescent="0.2">
      <c r="A671" s="7">
        <f t="shared" si="42"/>
        <v>45547</v>
      </c>
      <c r="B671">
        <f t="shared" si="40"/>
        <v>0</v>
      </c>
      <c r="F671" s="10">
        <f t="shared" si="43"/>
        <v>45547</v>
      </c>
      <c r="G671">
        <f t="shared" si="41"/>
        <v>0</v>
      </c>
    </row>
    <row r="672" spans="1:7" x14ac:dyDescent="0.2">
      <c r="A672" s="7">
        <f t="shared" si="42"/>
        <v>45548</v>
      </c>
      <c r="B672">
        <f t="shared" si="40"/>
        <v>0</v>
      </c>
      <c r="F672" s="10">
        <f t="shared" si="43"/>
        <v>45548</v>
      </c>
      <c r="G672">
        <f t="shared" si="41"/>
        <v>0</v>
      </c>
    </row>
    <row r="673" spans="1:7" x14ac:dyDescent="0.2">
      <c r="A673" s="7">
        <f t="shared" si="42"/>
        <v>45549</v>
      </c>
      <c r="B673">
        <f t="shared" si="40"/>
        <v>0</v>
      </c>
      <c r="F673" s="10">
        <f t="shared" si="43"/>
        <v>45549</v>
      </c>
      <c r="G673">
        <f t="shared" si="41"/>
        <v>0</v>
      </c>
    </row>
    <row r="674" spans="1:7" x14ac:dyDescent="0.2">
      <c r="A674" s="7">
        <f t="shared" si="42"/>
        <v>45550</v>
      </c>
      <c r="B674">
        <f t="shared" si="40"/>
        <v>0</v>
      </c>
      <c r="F674" s="10">
        <f t="shared" si="43"/>
        <v>45550</v>
      </c>
      <c r="G674">
        <f t="shared" si="41"/>
        <v>0</v>
      </c>
    </row>
    <row r="675" spans="1:7" x14ac:dyDescent="0.2">
      <c r="A675" s="7">
        <f t="shared" si="42"/>
        <v>45551</v>
      </c>
      <c r="B675">
        <f t="shared" si="40"/>
        <v>0</v>
      </c>
      <c r="F675" s="10">
        <f t="shared" si="43"/>
        <v>45551</v>
      </c>
      <c r="G675">
        <f t="shared" si="41"/>
        <v>0</v>
      </c>
    </row>
    <row r="676" spans="1:7" x14ac:dyDescent="0.2">
      <c r="A676" s="7">
        <f t="shared" si="42"/>
        <v>45552</v>
      </c>
      <c r="B676">
        <f t="shared" si="40"/>
        <v>0</v>
      </c>
      <c r="F676" s="10">
        <f t="shared" si="43"/>
        <v>45552</v>
      </c>
      <c r="G676">
        <f t="shared" si="41"/>
        <v>0</v>
      </c>
    </row>
    <row r="677" spans="1:7" x14ac:dyDescent="0.2">
      <c r="A677" s="7">
        <f t="shared" si="42"/>
        <v>45553</v>
      </c>
      <c r="B677">
        <f t="shared" si="40"/>
        <v>0</v>
      </c>
      <c r="F677" s="10">
        <f t="shared" si="43"/>
        <v>45553</v>
      </c>
      <c r="G677">
        <f t="shared" si="41"/>
        <v>0</v>
      </c>
    </row>
    <row r="678" spans="1:7" x14ac:dyDescent="0.2">
      <c r="A678" s="7">
        <f t="shared" si="42"/>
        <v>45554</v>
      </c>
      <c r="B678">
        <f t="shared" si="40"/>
        <v>0</v>
      </c>
      <c r="F678" s="10">
        <f t="shared" si="43"/>
        <v>45554</v>
      </c>
      <c r="G678">
        <f t="shared" si="41"/>
        <v>0</v>
      </c>
    </row>
    <row r="679" spans="1:7" x14ac:dyDescent="0.2">
      <c r="A679" s="7">
        <f t="shared" si="42"/>
        <v>45555</v>
      </c>
      <c r="B679">
        <f t="shared" si="40"/>
        <v>0</v>
      </c>
      <c r="F679" s="10">
        <f t="shared" si="43"/>
        <v>45555</v>
      </c>
      <c r="G679">
        <f t="shared" si="41"/>
        <v>0</v>
      </c>
    </row>
    <row r="680" spans="1:7" x14ac:dyDescent="0.2">
      <c r="A680" s="7">
        <f t="shared" si="42"/>
        <v>45556</v>
      </c>
      <c r="B680">
        <f t="shared" si="40"/>
        <v>0</v>
      </c>
      <c r="F680" s="10">
        <f t="shared" si="43"/>
        <v>45556</v>
      </c>
      <c r="G680">
        <f t="shared" si="41"/>
        <v>0</v>
      </c>
    </row>
    <row r="681" spans="1:7" x14ac:dyDescent="0.2">
      <c r="A681" s="7">
        <f t="shared" si="42"/>
        <v>45557</v>
      </c>
      <c r="B681">
        <f t="shared" si="40"/>
        <v>0</v>
      </c>
      <c r="F681" s="10">
        <f t="shared" si="43"/>
        <v>45557</v>
      </c>
      <c r="G681">
        <f t="shared" si="41"/>
        <v>0</v>
      </c>
    </row>
    <row r="682" spans="1:7" x14ac:dyDescent="0.2">
      <c r="A682" s="7">
        <f t="shared" si="42"/>
        <v>45558</v>
      </c>
      <c r="B682">
        <f t="shared" si="40"/>
        <v>0</v>
      </c>
      <c r="F682" s="10">
        <f t="shared" si="43"/>
        <v>45558</v>
      </c>
      <c r="G682">
        <f t="shared" si="41"/>
        <v>0</v>
      </c>
    </row>
    <row r="683" spans="1:7" x14ac:dyDescent="0.2">
      <c r="A683" s="7">
        <f t="shared" si="42"/>
        <v>45559</v>
      </c>
      <c r="B683">
        <f t="shared" si="40"/>
        <v>0</v>
      </c>
      <c r="F683" s="10">
        <f t="shared" si="43"/>
        <v>45559</v>
      </c>
      <c r="G683">
        <f t="shared" si="41"/>
        <v>0</v>
      </c>
    </row>
    <row r="684" spans="1:7" x14ac:dyDescent="0.2">
      <c r="A684" s="7">
        <f t="shared" si="42"/>
        <v>45560</v>
      </c>
      <c r="B684">
        <f t="shared" si="40"/>
        <v>1</v>
      </c>
      <c r="F684" s="10">
        <f t="shared" si="43"/>
        <v>45560</v>
      </c>
      <c r="G684">
        <f t="shared" si="41"/>
        <v>300</v>
      </c>
    </row>
    <row r="685" spans="1:7" x14ac:dyDescent="0.2">
      <c r="A685" s="7">
        <f t="shared" si="42"/>
        <v>45561</v>
      </c>
      <c r="B685">
        <f t="shared" si="40"/>
        <v>0</v>
      </c>
      <c r="F685" s="10">
        <f t="shared" si="43"/>
        <v>45561</v>
      </c>
      <c r="G685">
        <f t="shared" si="41"/>
        <v>0</v>
      </c>
    </row>
    <row r="686" spans="1:7" x14ac:dyDescent="0.2">
      <c r="A686" s="7">
        <f t="shared" si="42"/>
        <v>45562</v>
      </c>
      <c r="B686">
        <f t="shared" si="40"/>
        <v>1</v>
      </c>
      <c r="F686" s="10">
        <f t="shared" si="43"/>
        <v>45562</v>
      </c>
      <c r="G686">
        <f t="shared" si="41"/>
        <v>450</v>
      </c>
    </row>
    <row r="687" spans="1:7" x14ac:dyDescent="0.2">
      <c r="A687" s="7">
        <f t="shared" si="42"/>
        <v>45563</v>
      </c>
      <c r="B687">
        <f t="shared" si="40"/>
        <v>0</v>
      </c>
      <c r="F687" s="10">
        <f t="shared" si="43"/>
        <v>45563</v>
      </c>
      <c r="G687">
        <f t="shared" si="41"/>
        <v>0</v>
      </c>
    </row>
    <row r="688" spans="1:7" x14ac:dyDescent="0.2">
      <c r="A688" s="7">
        <f t="shared" si="42"/>
        <v>45564</v>
      </c>
      <c r="B688">
        <f t="shared" si="40"/>
        <v>0</v>
      </c>
      <c r="F688" s="10">
        <f t="shared" si="43"/>
        <v>45564</v>
      </c>
      <c r="G688">
        <f t="shared" si="41"/>
        <v>0</v>
      </c>
    </row>
    <row r="689" spans="1:7" x14ac:dyDescent="0.2">
      <c r="A689" s="7">
        <f t="shared" si="42"/>
        <v>45565</v>
      </c>
      <c r="B689">
        <f t="shared" si="40"/>
        <v>0</v>
      </c>
      <c r="F689" s="10">
        <f t="shared" si="43"/>
        <v>45565</v>
      </c>
      <c r="G689">
        <f t="shared" si="41"/>
        <v>0</v>
      </c>
    </row>
    <row r="690" spans="1:7" x14ac:dyDescent="0.2">
      <c r="A690" s="7">
        <f t="shared" si="42"/>
        <v>45566</v>
      </c>
      <c r="B690">
        <f t="shared" si="40"/>
        <v>1</v>
      </c>
      <c r="F690" s="10">
        <f t="shared" si="43"/>
        <v>45566</v>
      </c>
      <c r="G690">
        <f t="shared" si="41"/>
        <v>700</v>
      </c>
    </row>
    <row r="691" spans="1:7" x14ac:dyDescent="0.2">
      <c r="A691" s="7">
        <f t="shared" si="42"/>
        <v>45567</v>
      </c>
      <c r="B691">
        <f t="shared" si="40"/>
        <v>0</v>
      </c>
      <c r="F691" s="10">
        <f t="shared" si="43"/>
        <v>45567</v>
      </c>
      <c r="G691">
        <f t="shared" si="41"/>
        <v>0</v>
      </c>
    </row>
    <row r="692" spans="1:7" x14ac:dyDescent="0.2">
      <c r="A692" s="7">
        <f t="shared" si="42"/>
        <v>45568</v>
      </c>
      <c r="B692">
        <f t="shared" si="40"/>
        <v>0</v>
      </c>
      <c r="F692" s="10">
        <f t="shared" si="43"/>
        <v>45568</v>
      </c>
      <c r="G692">
        <f t="shared" si="41"/>
        <v>0</v>
      </c>
    </row>
    <row r="693" spans="1:7" x14ac:dyDescent="0.2">
      <c r="A693" s="7">
        <f t="shared" si="42"/>
        <v>45569</v>
      </c>
      <c r="B693">
        <f t="shared" si="40"/>
        <v>0</v>
      </c>
      <c r="F693" s="10">
        <f t="shared" si="43"/>
        <v>45569</v>
      </c>
      <c r="G693">
        <f t="shared" si="41"/>
        <v>0</v>
      </c>
    </row>
    <row r="694" spans="1:7" x14ac:dyDescent="0.2">
      <c r="A694" s="7">
        <f t="shared" si="42"/>
        <v>45570</v>
      </c>
      <c r="B694">
        <f t="shared" si="40"/>
        <v>0</v>
      </c>
      <c r="F694" s="10">
        <f t="shared" si="43"/>
        <v>45570</v>
      </c>
      <c r="G694">
        <f t="shared" si="41"/>
        <v>0</v>
      </c>
    </row>
    <row r="695" spans="1:7" x14ac:dyDescent="0.2">
      <c r="A695" s="7">
        <f t="shared" si="42"/>
        <v>45571</v>
      </c>
      <c r="B695">
        <f t="shared" si="40"/>
        <v>1</v>
      </c>
      <c r="F695" s="10">
        <f t="shared" si="43"/>
        <v>45571</v>
      </c>
      <c r="G695">
        <f t="shared" si="41"/>
        <v>300</v>
      </c>
    </row>
    <row r="696" spans="1:7" x14ac:dyDescent="0.2">
      <c r="A696" s="7">
        <f t="shared" si="42"/>
        <v>45572</v>
      </c>
      <c r="B696">
        <f t="shared" si="40"/>
        <v>0</v>
      </c>
      <c r="F696" s="10">
        <f t="shared" si="43"/>
        <v>45572</v>
      </c>
      <c r="G696">
        <f t="shared" si="41"/>
        <v>0</v>
      </c>
    </row>
    <row r="697" spans="1:7" x14ac:dyDescent="0.2">
      <c r="A697" s="7">
        <f t="shared" si="42"/>
        <v>45573</v>
      </c>
      <c r="B697">
        <f t="shared" si="40"/>
        <v>0</v>
      </c>
      <c r="F697" s="10">
        <f t="shared" si="43"/>
        <v>45573</v>
      </c>
      <c r="G697">
        <f t="shared" si="41"/>
        <v>0</v>
      </c>
    </row>
    <row r="698" spans="1:7" x14ac:dyDescent="0.2">
      <c r="A698" s="7">
        <f t="shared" si="42"/>
        <v>45574</v>
      </c>
      <c r="B698">
        <f t="shared" si="40"/>
        <v>0</v>
      </c>
      <c r="F698" s="10">
        <f t="shared" si="43"/>
        <v>45574</v>
      </c>
      <c r="G698">
        <f t="shared" si="41"/>
        <v>0</v>
      </c>
    </row>
    <row r="699" spans="1:7" x14ac:dyDescent="0.2">
      <c r="A699" s="7">
        <f t="shared" si="42"/>
        <v>45575</v>
      </c>
      <c r="B699">
        <f t="shared" si="40"/>
        <v>0</v>
      </c>
      <c r="F699" s="10">
        <f t="shared" si="43"/>
        <v>45575</v>
      </c>
      <c r="G699">
        <f t="shared" si="41"/>
        <v>0</v>
      </c>
    </row>
    <row r="700" spans="1:7" x14ac:dyDescent="0.2">
      <c r="A700" s="7">
        <f t="shared" si="42"/>
        <v>45576</v>
      </c>
      <c r="B700">
        <f t="shared" si="40"/>
        <v>0</v>
      </c>
      <c r="F700" s="10">
        <f t="shared" si="43"/>
        <v>45576</v>
      </c>
      <c r="G700">
        <f t="shared" si="41"/>
        <v>0</v>
      </c>
    </row>
    <row r="701" spans="1:7" x14ac:dyDescent="0.2">
      <c r="A701" s="7">
        <f t="shared" si="42"/>
        <v>45577</v>
      </c>
      <c r="B701">
        <f t="shared" si="40"/>
        <v>0</v>
      </c>
      <c r="F701" s="10">
        <f t="shared" si="43"/>
        <v>45577</v>
      </c>
      <c r="G701">
        <f t="shared" si="41"/>
        <v>0</v>
      </c>
    </row>
    <row r="702" spans="1:7" x14ac:dyDescent="0.2">
      <c r="A702" s="7">
        <f t="shared" si="42"/>
        <v>45578</v>
      </c>
      <c r="B702">
        <f t="shared" si="40"/>
        <v>0</v>
      </c>
      <c r="F702" s="10">
        <f t="shared" si="43"/>
        <v>45578</v>
      </c>
      <c r="G702">
        <f t="shared" si="41"/>
        <v>0</v>
      </c>
    </row>
    <row r="703" spans="1:7" x14ac:dyDescent="0.2">
      <c r="A703" s="7">
        <f t="shared" si="42"/>
        <v>45579</v>
      </c>
      <c r="B703">
        <f t="shared" si="40"/>
        <v>0</v>
      </c>
      <c r="F703" s="10">
        <f t="shared" si="43"/>
        <v>45579</v>
      </c>
      <c r="G703">
        <f t="shared" si="41"/>
        <v>0</v>
      </c>
    </row>
    <row r="704" spans="1:7" x14ac:dyDescent="0.2">
      <c r="A704" s="7">
        <f t="shared" si="42"/>
        <v>45580</v>
      </c>
      <c r="B704">
        <f t="shared" si="40"/>
        <v>0</v>
      </c>
      <c r="F704" s="10">
        <f t="shared" si="43"/>
        <v>45580</v>
      </c>
      <c r="G704">
        <f t="shared" si="41"/>
        <v>0</v>
      </c>
    </row>
    <row r="705" spans="1:7" x14ac:dyDescent="0.2">
      <c r="A705" s="7">
        <f t="shared" si="42"/>
        <v>45581</v>
      </c>
      <c r="B705">
        <f t="shared" si="40"/>
        <v>1</v>
      </c>
      <c r="F705" s="10">
        <f t="shared" si="43"/>
        <v>45581</v>
      </c>
      <c r="G705">
        <f t="shared" si="41"/>
        <v>450</v>
      </c>
    </row>
    <row r="706" spans="1:7" x14ac:dyDescent="0.2">
      <c r="A706" s="7">
        <f t="shared" si="42"/>
        <v>45582</v>
      </c>
      <c r="B706">
        <f t="shared" ref="B706:B722" si="44">IFERROR(VLOOKUP(A706,$C$2:$D$1000,2,FALSE),0)</f>
        <v>0</v>
      </c>
      <c r="F706" s="10">
        <f t="shared" si="43"/>
        <v>45582</v>
      </c>
      <c r="G706">
        <f t="shared" si="41"/>
        <v>0</v>
      </c>
    </row>
    <row r="707" spans="1:7" x14ac:dyDescent="0.2">
      <c r="A707" s="7">
        <f t="shared" si="42"/>
        <v>45583</v>
      </c>
      <c r="B707">
        <f t="shared" si="44"/>
        <v>0</v>
      </c>
      <c r="F707" s="10">
        <f t="shared" si="43"/>
        <v>45583</v>
      </c>
      <c r="G707">
        <f t="shared" ref="G707:G722" si="45">IFERROR(VLOOKUP(F707,$H$2:$I$1000,2,FALSE),0)</f>
        <v>0</v>
      </c>
    </row>
    <row r="708" spans="1:7" x14ac:dyDescent="0.2">
      <c r="A708" s="7">
        <f t="shared" ref="A708:A722" si="46">A707+1</f>
        <v>45584</v>
      </c>
      <c r="B708">
        <f t="shared" si="44"/>
        <v>0</v>
      </c>
      <c r="F708" s="10">
        <f t="shared" ref="F708:F722" si="47">F707+1</f>
        <v>45584</v>
      </c>
      <c r="G708">
        <f t="shared" si="45"/>
        <v>0</v>
      </c>
    </row>
    <row r="709" spans="1:7" x14ac:dyDescent="0.2">
      <c r="A709" s="7">
        <f t="shared" si="46"/>
        <v>45585</v>
      </c>
      <c r="B709">
        <f t="shared" si="44"/>
        <v>0</v>
      </c>
      <c r="F709" s="10">
        <f t="shared" si="47"/>
        <v>45585</v>
      </c>
      <c r="G709">
        <f t="shared" si="45"/>
        <v>0</v>
      </c>
    </row>
    <row r="710" spans="1:7" x14ac:dyDescent="0.2">
      <c r="A710" s="7">
        <f t="shared" si="46"/>
        <v>45586</v>
      </c>
      <c r="B710">
        <f t="shared" si="44"/>
        <v>0</v>
      </c>
      <c r="F710" s="10">
        <f t="shared" si="47"/>
        <v>45586</v>
      </c>
      <c r="G710">
        <f t="shared" si="45"/>
        <v>0</v>
      </c>
    </row>
    <row r="711" spans="1:7" x14ac:dyDescent="0.2">
      <c r="A711" s="7">
        <f t="shared" si="46"/>
        <v>45587</v>
      </c>
      <c r="B711">
        <f t="shared" si="44"/>
        <v>0</v>
      </c>
      <c r="F711" s="10">
        <f t="shared" si="47"/>
        <v>45587</v>
      </c>
      <c r="G711">
        <f t="shared" si="45"/>
        <v>0</v>
      </c>
    </row>
    <row r="712" spans="1:7" x14ac:dyDescent="0.2">
      <c r="A712" s="7">
        <f t="shared" si="46"/>
        <v>45588</v>
      </c>
      <c r="B712">
        <f t="shared" si="44"/>
        <v>1</v>
      </c>
      <c r="F712" s="10">
        <f t="shared" si="47"/>
        <v>45588</v>
      </c>
      <c r="G712">
        <f t="shared" si="45"/>
        <v>700</v>
      </c>
    </row>
    <row r="713" spans="1:7" x14ac:dyDescent="0.2">
      <c r="A713" s="7">
        <f t="shared" si="46"/>
        <v>45589</v>
      </c>
      <c r="B713">
        <f t="shared" si="44"/>
        <v>0</v>
      </c>
      <c r="F713" s="10">
        <f t="shared" si="47"/>
        <v>45589</v>
      </c>
      <c r="G713">
        <f t="shared" si="45"/>
        <v>0</v>
      </c>
    </row>
    <row r="714" spans="1:7" x14ac:dyDescent="0.2">
      <c r="A714" s="7">
        <f t="shared" si="46"/>
        <v>45590</v>
      </c>
      <c r="B714">
        <f t="shared" si="44"/>
        <v>1</v>
      </c>
      <c r="F714" s="10">
        <f t="shared" si="47"/>
        <v>45590</v>
      </c>
      <c r="G714">
        <f t="shared" si="45"/>
        <v>300</v>
      </c>
    </row>
    <row r="715" spans="1:7" x14ac:dyDescent="0.2">
      <c r="A715" s="7">
        <f t="shared" si="46"/>
        <v>45591</v>
      </c>
      <c r="B715">
        <f t="shared" si="44"/>
        <v>0</v>
      </c>
      <c r="F715" s="10">
        <f t="shared" si="47"/>
        <v>45591</v>
      </c>
      <c r="G715">
        <f t="shared" si="45"/>
        <v>0</v>
      </c>
    </row>
    <row r="716" spans="1:7" x14ac:dyDescent="0.2">
      <c r="A716" s="7">
        <f t="shared" si="46"/>
        <v>45592</v>
      </c>
      <c r="B716">
        <f t="shared" si="44"/>
        <v>0</v>
      </c>
      <c r="F716" s="10">
        <f t="shared" si="47"/>
        <v>45592</v>
      </c>
      <c r="G716">
        <f t="shared" si="45"/>
        <v>0</v>
      </c>
    </row>
    <row r="717" spans="1:7" x14ac:dyDescent="0.2">
      <c r="A717" s="7">
        <f t="shared" si="46"/>
        <v>45593</v>
      </c>
      <c r="B717">
        <f t="shared" si="44"/>
        <v>1</v>
      </c>
      <c r="F717" s="10">
        <f t="shared" si="47"/>
        <v>45593</v>
      </c>
      <c r="G717">
        <f t="shared" si="45"/>
        <v>450</v>
      </c>
    </row>
    <row r="718" spans="1:7" x14ac:dyDescent="0.2">
      <c r="A718" s="7">
        <f t="shared" si="46"/>
        <v>45594</v>
      </c>
      <c r="B718">
        <f t="shared" si="44"/>
        <v>0</v>
      </c>
      <c r="F718" s="10">
        <f t="shared" si="47"/>
        <v>45594</v>
      </c>
      <c r="G718">
        <f t="shared" si="45"/>
        <v>0</v>
      </c>
    </row>
    <row r="719" spans="1:7" x14ac:dyDescent="0.2">
      <c r="A719" s="7">
        <f t="shared" si="46"/>
        <v>45595</v>
      </c>
      <c r="B719">
        <f t="shared" si="44"/>
        <v>0</v>
      </c>
      <c r="F719" s="10">
        <f t="shared" si="47"/>
        <v>45595</v>
      </c>
      <c r="G719">
        <f t="shared" si="45"/>
        <v>0</v>
      </c>
    </row>
    <row r="720" spans="1:7" x14ac:dyDescent="0.2">
      <c r="A720" s="7">
        <f t="shared" si="46"/>
        <v>45596</v>
      </c>
      <c r="B720">
        <f t="shared" si="44"/>
        <v>0</v>
      </c>
      <c r="F720" s="10">
        <f t="shared" si="47"/>
        <v>45596</v>
      </c>
      <c r="G720">
        <f t="shared" si="45"/>
        <v>0</v>
      </c>
    </row>
    <row r="721" spans="1:7" x14ac:dyDescent="0.2">
      <c r="A721" s="7">
        <f t="shared" si="46"/>
        <v>45597</v>
      </c>
      <c r="B721">
        <f t="shared" si="44"/>
        <v>0</v>
      </c>
      <c r="F721" s="10">
        <f t="shared" si="47"/>
        <v>45597</v>
      </c>
      <c r="G721">
        <f t="shared" si="45"/>
        <v>0</v>
      </c>
    </row>
    <row r="722" spans="1:7" x14ac:dyDescent="0.2">
      <c r="A722" s="7">
        <f t="shared" si="46"/>
        <v>45598</v>
      </c>
      <c r="B722">
        <f t="shared" si="44"/>
        <v>1</v>
      </c>
      <c r="F722" s="10">
        <f t="shared" si="47"/>
        <v>45598</v>
      </c>
      <c r="G722">
        <f t="shared" si="45"/>
        <v>700</v>
      </c>
    </row>
    <row r="723" spans="1:7" x14ac:dyDescent="0.2">
      <c r="G723">
        <f>SUM(G2:G722)</f>
        <v>48000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C370-ED54-4B2E-8C30-51F66994ABD1}">
  <sheetPr codeName="Folha6"/>
  <dimension ref="A3:B7"/>
  <sheetViews>
    <sheetView workbookViewId="0">
      <selection activeCell="N35" sqref="N35"/>
    </sheetView>
  </sheetViews>
  <sheetFormatPr baseColWidth="10" defaultColWidth="8.83203125" defaultRowHeight="15" x14ac:dyDescent="0.2"/>
  <cols>
    <col min="1" max="1" width="18.83203125" bestFit="1" customWidth="1"/>
    <col min="2" max="2" width="21.33203125" bestFit="1" customWidth="1"/>
    <col min="3" max="3" width="23.33203125" bestFit="1" customWidth="1"/>
  </cols>
  <sheetData>
    <row r="3" spans="1:2" x14ac:dyDescent="0.2">
      <c r="A3" s="5" t="s">
        <v>437</v>
      </c>
      <c r="B3" t="s">
        <v>436</v>
      </c>
    </row>
    <row r="4" spans="1:2" x14ac:dyDescent="0.2">
      <c r="A4" s="21" t="s">
        <v>22</v>
      </c>
      <c r="B4">
        <v>23100</v>
      </c>
    </row>
    <row r="5" spans="1:2" x14ac:dyDescent="0.2">
      <c r="A5" s="21" t="s">
        <v>27</v>
      </c>
      <c r="B5">
        <v>9600</v>
      </c>
    </row>
    <row r="6" spans="1:2" x14ac:dyDescent="0.2">
      <c r="A6" s="21" t="s">
        <v>12</v>
      </c>
      <c r="B6">
        <v>15300</v>
      </c>
    </row>
    <row r="7" spans="1:2" x14ac:dyDescent="0.2">
      <c r="A7" s="21" t="s">
        <v>412</v>
      </c>
      <c r="B7">
        <v>48000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73222-0C76-4B98-84FE-96727ADB475C}">
  <sheetPr codeName="Folha7"/>
  <dimension ref="A3:B7"/>
  <sheetViews>
    <sheetView workbookViewId="0">
      <selection activeCell="L34" sqref="L34"/>
    </sheetView>
  </sheetViews>
  <sheetFormatPr baseColWidth="10" defaultColWidth="8.83203125" defaultRowHeight="15" x14ac:dyDescent="0.2"/>
  <cols>
    <col min="1" max="1" width="10.1640625" bestFit="1" customWidth="1"/>
    <col min="2" max="2" width="14.5" bestFit="1" customWidth="1"/>
  </cols>
  <sheetData>
    <row r="3" spans="1:2" x14ac:dyDescent="0.2">
      <c r="A3" s="5" t="s">
        <v>413</v>
      </c>
      <c r="B3" t="s">
        <v>441</v>
      </c>
    </row>
    <row r="4" spans="1:2" x14ac:dyDescent="0.2">
      <c r="A4" s="21" t="s">
        <v>438</v>
      </c>
      <c r="B4">
        <v>5</v>
      </c>
    </row>
    <row r="5" spans="1:2" x14ac:dyDescent="0.2">
      <c r="A5" s="21" t="s">
        <v>439</v>
      </c>
      <c r="B5">
        <v>42</v>
      </c>
    </row>
    <row r="6" spans="1:2" x14ac:dyDescent="0.2">
      <c r="A6" s="21" t="s">
        <v>440</v>
      </c>
      <c r="B6">
        <v>52</v>
      </c>
    </row>
    <row r="7" spans="1:2" x14ac:dyDescent="0.2">
      <c r="A7" s="21" t="s">
        <v>412</v>
      </c>
      <c r="B7">
        <v>99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29135-B54B-46CA-9CBE-EF2DD6900A81}">
  <sheetPr codeName="Folha8"/>
  <dimension ref="A3:B6"/>
  <sheetViews>
    <sheetView workbookViewId="0">
      <selection activeCell="C35" sqref="C35"/>
    </sheetView>
  </sheetViews>
  <sheetFormatPr baseColWidth="10" defaultColWidth="8.83203125" defaultRowHeight="15" x14ac:dyDescent="0.2"/>
  <cols>
    <col min="1" max="1" width="17.6640625" bestFit="1" customWidth="1"/>
    <col min="2" max="2" width="14.5" bestFit="1" customWidth="1"/>
  </cols>
  <sheetData>
    <row r="3" spans="1:2" x14ac:dyDescent="0.2">
      <c r="A3" s="5" t="s">
        <v>3</v>
      </c>
      <c r="B3" t="s">
        <v>441</v>
      </c>
    </row>
    <row r="4" spans="1:2" x14ac:dyDescent="0.2">
      <c r="A4" s="21" t="s">
        <v>17</v>
      </c>
      <c r="B4" s="22">
        <v>0.49494949494949497</v>
      </c>
    </row>
    <row r="5" spans="1:2" x14ac:dyDescent="0.2">
      <c r="A5" s="21" t="s">
        <v>11</v>
      </c>
      <c r="B5" s="22">
        <v>0.50505050505050508</v>
      </c>
    </row>
    <row r="6" spans="1:2" x14ac:dyDescent="0.2">
      <c r="A6" s="21" t="s">
        <v>412</v>
      </c>
      <c r="B6" s="22">
        <v>1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1:C1000"/>
  <sheetViews>
    <sheetView workbookViewId="0">
      <selection activeCell="I2" sqref="I2:J5"/>
    </sheetView>
  </sheetViews>
  <sheetFormatPr baseColWidth="10" defaultColWidth="14.5" defaultRowHeight="15" customHeight="1" x14ac:dyDescent="0.2"/>
  <cols>
    <col min="1" max="1" width="8.6640625" customWidth="1"/>
    <col min="2" max="2" width="14.5" customWidth="1"/>
    <col min="3" max="3" width="9.83203125" customWidth="1"/>
    <col min="4" max="8" width="8.6640625" customWidth="1"/>
    <col min="9" max="9" width="21" customWidth="1"/>
    <col min="10" max="26" width="8.6640625" customWidth="1"/>
  </cols>
  <sheetData>
    <row r="1" spans="2:3" ht="14.25" customHeight="1" x14ac:dyDescent="0.2"/>
    <row r="2" spans="2:3" ht="14.25" customHeight="1" x14ac:dyDescent="0.2">
      <c r="B2" s="2" t="s">
        <v>408</v>
      </c>
      <c r="C2" s="4">
        <v>45000</v>
      </c>
    </row>
    <row r="3" spans="2:3" ht="14.25" customHeight="1" x14ac:dyDescent="0.2"/>
    <row r="4" spans="2:3" ht="14.25" customHeight="1" x14ac:dyDescent="0.2">
      <c r="B4" s="2" t="s">
        <v>409</v>
      </c>
      <c r="C4" s="4">
        <v>9000</v>
      </c>
    </row>
    <row r="5" spans="2:3" ht="14.25" customHeight="1" x14ac:dyDescent="0.2">
      <c r="C5" s="4"/>
    </row>
    <row r="6" spans="2:3" ht="14.25" customHeight="1" x14ac:dyDescent="0.2">
      <c r="B6" s="2" t="s">
        <v>410</v>
      </c>
      <c r="C6" s="4">
        <v>4300</v>
      </c>
    </row>
    <row r="7" spans="2:3" ht="14.25" customHeight="1" x14ac:dyDescent="0.2"/>
    <row r="8" spans="2:3" ht="14.25" customHeight="1" x14ac:dyDescent="0.2"/>
    <row r="9" spans="2:3" ht="14.25" customHeight="1" x14ac:dyDescent="0.2"/>
    <row r="10" spans="2:3" ht="14.25" customHeight="1" x14ac:dyDescent="0.2"/>
    <row r="11" spans="2:3" ht="14.25" customHeight="1" x14ac:dyDescent="0.2"/>
    <row r="12" spans="2:3" ht="14.25" customHeight="1" x14ac:dyDescent="0.2"/>
    <row r="13" spans="2:3" ht="14.25" customHeight="1" x14ac:dyDescent="0.2"/>
    <row r="14" spans="2:3" ht="14.25" customHeight="1" x14ac:dyDescent="0.2"/>
    <row r="15" spans="2:3" ht="14.25" customHeight="1" x14ac:dyDescent="0.2"/>
    <row r="16" spans="2:3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Database</vt:lpstr>
      <vt:lpstr>Event Dashboard</vt:lpstr>
      <vt:lpstr>Updated Event Dashboard</vt:lpstr>
      <vt:lpstr>Projections</vt:lpstr>
      <vt:lpstr>Updated Projections</vt:lpstr>
      <vt:lpstr>Accessory sheet</vt:lpstr>
      <vt:lpstr>PivotTable</vt:lpstr>
      <vt:lpstr>PivotTable2</vt:lpstr>
      <vt:lpstr>PivotTable3</vt:lpstr>
      <vt:lpstr>Assumptions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António Martins</dc:creator>
  <cp:lastModifiedBy>Antonio Martins</cp:lastModifiedBy>
  <dcterms:created xsi:type="dcterms:W3CDTF">2024-11-19T21:28:04Z</dcterms:created>
  <dcterms:modified xsi:type="dcterms:W3CDTF">2025-08-25T19:20:05Z</dcterms:modified>
</cp:coreProperties>
</file>